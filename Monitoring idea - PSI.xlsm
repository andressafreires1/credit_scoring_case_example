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Auxiliar" sheetId="1" r:id="rId5"/>
    <sheet state="visible" name="CUBE" sheetId="2" r:id="rId6"/>
    <sheet state="visible" name="SUMMARY" sheetId="3" r:id="rId7"/>
    <sheet state="visible" name="MODEL" sheetId="4" r:id="rId8"/>
  </sheets>
  <definedNames>
    <definedName hidden="1" localSheetId="0" name="_xlnm._FilterDatabase">Auxiliar!$A$1:$A$584</definedName>
    <definedName hidden="1" localSheetId="1" name="_xlnm._FilterDatabase">CUBE!$C$1:$C$316</definedName>
  </definedNames>
  <calcPr/>
  <extLst>
    <ext uri="GoogleSheetsCustomDataVersion2">
      <go:sheetsCustomData xmlns:go="http://customooxmlschemas.google.com/" r:id="rId9" roundtripDataChecksum="gxdLlcGb/5EnGteah+uoRvxMEcj8ngaCJDuV7Pnui0U="/>
    </ext>
  </extLst>
</workbook>
</file>

<file path=xl/sharedStrings.xml><?xml version="1.0" encoding="utf-8"?>
<sst xmlns="http://schemas.openxmlformats.org/spreadsheetml/2006/main" count="1761" uniqueCount="663">
  <si>
    <t>CP</t>
  </si>
  <si>
    <t>Filtros</t>
  </si>
  <si>
    <t>Todos</t>
  </si>
  <si>
    <t>Todos (Sem Filtros)</t>
  </si>
  <si>
    <t>10002</t>
  </si>
  <si>
    <t>Fundação</t>
  </si>
  <si>
    <t>10004</t>
  </si>
  <si>
    <t>Associação</t>
  </si>
  <si>
    <t>10005</t>
  </si>
  <si>
    <t>CPs Válidos</t>
  </si>
  <si>
    <t>10007</t>
  </si>
  <si>
    <t>Aero</t>
  </si>
  <si>
    <t>10008</t>
  </si>
  <si>
    <t>10009</t>
  </si>
  <si>
    <t>10011</t>
  </si>
  <si>
    <t>10012</t>
  </si>
  <si>
    <t>10015</t>
  </si>
  <si>
    <t>10016</t>
  </si>
  <si>
    <t>10017</t>
  </si>
  <si>
    <t>10018</t>
  </si>
  <si>
    <t>10019</t>
  </si>
  <si>
    <t>10022</t>
  </si>
  <si>
    <t>10024</t>
  </si>
  <si>
    <t>10025</t>
  </si>
  <si>
    <t>10026</t>
  </si>
  <si>
    <t>10028</t>
  </si>
  <si>
    <t>10029</t>
  </si>
  <si>
    <t>10030</t>
  </si>
  <si>
    <t>10031</t>
  </si>
  <si>
    <t>10033</t>
  </si>
  <si>
    <t>10034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</si>
  <si>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</si>
  <si>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</si>
  <si>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</si>
  <si>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</si>
  <si>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</si>
  <si>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</si>
  <si>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</si>
  <si>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</si>
  <si>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</si>
  <si>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</si>
  <si>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</si>
  <si>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</si>
  <si>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</si>
  <si>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</si>
  <si>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</si>
  <si>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</si>
  <si>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</si>
  <si>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</si>
  <si>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</si>
  <si>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</si>
  <si>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</si>
  <si>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</si>
  <si>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</si>
  <si>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</si>
  <si>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10066</t>
  </si>
  <si>
    <t>10068</t>
  </si>
  <si>
    <t>10069</t>
  </si>
  <si>
    <t>10070</t>
  </si>
  <si>
    <t>10071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</si>
  <si>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</si>
  <si>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</si>
  <si>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</si>
  <si>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</si>
  <si>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</si>
  <si>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</si>
  <si>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</si>
  <si>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</si>
  <si>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</si>
  <si>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10087</t>
  </si>
  <si>
    <t>10088</t>
  </si>
  <si>
    <t>10089</t>
  </si>
  <si>
    <t>10090</t>
  </si>
  <si>
    <t>10091</t>
  </si>
  <si>
    <t>10094</t>
  </si>
  <si>
    <t>10095</t>
  </si>
  <si>
    <t>10098</t>
  </si>
  <si>
    <t>10099</t>
  </si>
  <si>
    <t>10103</t>
  </si>
  <si>
    <t>10107</t>
  </si>
  <si>
    <t>10108</t>
  </si>
  <si>
    <t>10109</t>
  </si>
  <si>
    <t>10110</t>
  </si>
  <si>
    <t>10111</t>
  </si>
  <si>
    <t>10112</t>
  </si>
  <si>
    <t>10113</t>
  </si>
  <si>
    <t>10115</t>
  </si>
  <si>
    <t>10116</t>
  </si>
  <si>
    <t>10117</t>
  </si>
  <si>
    <t>10118</t>
  </si>
  <si>
    <t>10119</t>
  </si>
  <si>
    <t>10121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</si>
  <si>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</si>
  <si>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</si>
  <si>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</si>
  <si>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</si>
  <si>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</si>
  <si>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</si>
  <si>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</si>
  <si>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</si>
  <si>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</si>
  <si>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</si>
  <si>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10140</t>
  </si>
  <si>
    <t>10141</t>
  </si>
  <si>
    <t>10143</t>
  </si>
  <si>
    <t>10145</t>
  </si>
  <si>
    <t>10146</t>
  </si>
  <si>
    <t>10147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</si>
  <si>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</si>
  <si>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</si>
  <si>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</si>
  <si>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</si>
  <si>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</si>
  <si>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</si>
  <si>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</si>
  <si>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</si>
  <si>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</si>
  <si>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</si>
  <si>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</si>
  <si>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</si>
  <si>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</si>
  <si>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</si>
  <si>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</si>
  <si>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</si>
  <si>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</si>
  <si>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</si>
  <si>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</si>
  <si>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</si>
  <si>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</si>
  <si>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</si>
  <si>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</si>
  <si>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</si>
  <si>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</si>
  <si>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</si>
  <si>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</si>
  <si>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10178</t>
  </si>
  <si>
    <t>10179</t>
  </si>
  <si>
    <t>10180</t>
  </si>
  <si>
    <t>10181</t>
  </si>
  <si>
    <t>10183</t>
  </si>
  <si>
    <t>10184</t>
  </si>
  <si>
    <t>10188</t>
  </si>
  <si>
    <t>10189</t>
  </si>
  <si>
    <t>10192</t>
  </si>
  <si>
    <t>10193</t>
  </si>
  <si>
    <t>10195</t>
  </si>
  <si>
    <t>10196</t>
  </si>
  <si>
    <t>10197</t>
  </si>
  <si>
    <t>10198</t>
  </si>
  <si>
    <t>10199</t>
  </si>
  <si>
    <t>10201</t>
  </si>
  <si>
    <t>10203</t>
  </si>
  <si>
    <t>10204</t>
  </si>
  <si>
    <t>10206</t>
  </si>
  <si>
    <t>10207</t>
  </si>
  <si>
    <t>10208</t>
  </si>
  <si>
    <t>10209</t>
  </si>
  <si>
    <t>10214</t>
  </si>
  <si>
    <t>10215</t>
  </si>
  <si>
    <t>10217</t>
  </si>
  <si>
    <t>10219</t>
  </si>
  <si>
    <t>10220</t>
  </si>
  <si>
    <t>10221</t>
  </si>
  <si>
    <t>10222</t>
  </si>
  <si>
    <t>10223</t>
  </si>
  <si>
    <t>10224</t>
  </si>
  <si>
    <t>10227</t>
  </si>
  <si>
    <t>10228</t>
  </si>
  <si>
    <t>10229</t>
  </si>
  <si>
    <t>10230</t>
  </si>
  <si>
    <t>10232</t>
  </si>
  <si>
    <t>10235</t>
  </si>
  <si>
    <t>10236</t>
  </si>
  <si>
    <t>10238</t>
  </si>
  <si>
    <t>10239</t>
  </si>
  <si>
    <t>10240</t>
  </si>
  <si>
    <t>10243</t>
  </si>
  <si>
    <t>10244</t>
  </si>
  <si>
    <t>10247</t>
  </si>
  <si>
    <t>10249</t>
  </si>
  <si>
    <t>10251</t>
  </si>
  <si>
    <t>10252</t>
  </si>
  <si>
    <t>10253</t>
  </si>
  <si>
    <t>10255</t>
  </si>
  <si>
    <t>10256</t>
  </si>
  <si>
    <t>10257</t>
  </si>
  <si>
    <t>10258</t>
  </si>
  <si>
    <t>10259</t>
  </si>
  <si>
    <t>10260</t>
  </si>
  <si>
    <t>10263</t>
  </si>
  <si>
    <t>10264</t>
  </si>
  <si>
    <t>10265</t>
  </si>
  <si>
    <t>10268</t>
  </si>
  <si>
    <t>10269</t>
  </si>
  <si>
    <t>10270</t>
  </si>
  <si>
    <t>10271</t>
  </si>
  <si>
    <t>10272</t>
  </si>
  <si>
    <t>10274</t>
  </si>
  <si>
    <t>10275</t>
  </si>
  <si>
    <t>10276</t>
  </si>
  <si>
    <t>10279</t>
  </si>
  <si>
    <t>10280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</si>
  <si>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</si>
  <si>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</si>
  <si>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</si>
  <si>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</si>
  <si>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</si>
  <si>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</si>
  <si>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</si>
  <si>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</si>
  <si>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10291</t>
  </si>
  <si>
    <t>10292</t>
  </si>
  <si>
    <t>10293</t>
  </si>
  <si>
    <t>10294</t>
  </si>
  <si>
    <t>10295</t>
  </si>
  <si>
    <t>10296</t>
  </si>
  <si>
    <t>10297</t>
  </si>
  <si>
    <t>10299</t>
  </si>
  <si>
    <t>10301</t>
  </si>
  <si>
    <t>10302</t>
  </si>
  <si>
    <t>10303</t>
  </si>
  <si>
    <t>10304</t>
  </si>
  <si>
    <t>10305</t>
  </si>
  <si>
    <t>10307</t>
  </si>
  <si>
    <t>10308</t>
  </si>
  <si>
    <t>10309</t>
  </si>
  <si>
    <t>10340</t>
  </si>
  <si>
    <t>10341</t>
  </si>
  <si>
    <t>10342</t>
  </si>
  <si>
    <t>10343</t>
  </si>
  <si>
    <t>10344</t>
  </si>
  <si>
    <t>10345</t>
  </si>
  <si>
    <t>10346</t>
  </si>
  <si>
    <t>10350</t>
  </si>
  <si>
    <t>10351</t>
  </si>
  <si>
    <t>10352</t>
  </si>
  <si>
    <t>10353</t>
  </si>
  <si>
    <t>10354</t>
  </si>
  <si>
    <t>10355</t>
  </si>
  <si>
    <t>10356</t>
  </si>
  <si>
    <t>10358</t>
  </si>
  <si>
    <t>10359</t>
  </si>
  <si>
    <t>10360</t>
  </si>
  <si>
    <t>10361</t>
  </si>
  <si>
    <t>10363</t>
  </si>
  <si>
    <t>10365</t>
  </si>
  <si>
    <t>10366</t>
  </si>
  <si>
    <t>10367</t>
  </si>
  <si>
    <t>10368</t>
  </si>
  <si>
    <t>10369</t>
  </si>
  <si>
    <t>10370</t>
  </si>
  <si>
    <t>10372</t>
  </si>
  <si>
    <t>10373</t>
  </si>
  <si>
    <t>10374</t>
  </si>
  <si>
    <t>10375</t>
  </si>
  <si>
    <t>10377</t>
  </si>
  <si>
    <t>10378</t>
  </si>
  <si>
    <t>10379</t>
  </si>
  <si>
    <t>10380</t>
  </si>
  <si>
    <t>10381</t>
  </si>
  <si>
    <t>10382</t>
  </si>
  <si>
    <t>10383</t>
  </si>
  <si>
    <t>10384</t>
  </si>
  <si>
    <t>10385</t>
  </si>
  <si>
    <t>10386</t>
  </si>
  <si>
    <t>10387</t>
  </si>
  <si>
    <t>10389</t>
  </si>
  <si>
    <t>10390</t>
  </si>
  <si>
    <t>10391</t>
  </si>
  <si>
    <t>10394</t>
  </si>
  <si>
    <t>10395</t>
  </si>
  <si>
    <t>10396</t>
  </si>
  <si>
    <t>10397</t>
  </si>
  <si>
    <t>10398</t>
  </si>
  <si>
    <t>10399</t>
  </si>
  <si>
    <t>10402</t>
  </si>
  <si>
    <t>10403</t>
  </si>
  <si>
    <t>10405</t>
  </si>
  <si>
    <t>10406</t>
  </si>
  <si>
    <t>10408</t>
  </si>
  <si>
    <t>10409</t>
  </si>
  <si>
    <t>10410</t>
  </si>
  <si>
    <t>10411</t>
  </si>
  <si>
    <t>10412</t>
  </si>
  <si>
    <t>10413</t>
  </si>
  <si>
    <t>10414</t>
  </si>
  <si>
    <t>10415</t>
  </si>
  <si>
    <t>10416</t>
  </si>
  <si>
    <t>10417</t>
  </si>
  <si>
    <t>10420</t>
  </si>
  <si>
    <t>10422</t>
  </si>
  <si>
    <t>10423</t>
  </si>
  <si>
    <t>10424</t>
  </si>
  <si>
    <t>10426</t>
  </si>
  <si>
    <t>10428</t>
  </si>
  <si>
    <t>10430</t>
  </si>
  <si>
    <t>10431</t>
  </si>
  <si>
    <t>10433</t>
  </si>
  <si>
    <t>10434</t>
  </si>
  <si>
    <t>10435</t>
  </si>
  <si>
    <t>10436</t>
  </si>
  <si>
    <t>10439</t>
  </si>
  <si>
    <t>10440</t>
  </si>
  <si>
    <t>10441</t>
  </si>
  <si>
    <t>10442</t>
  </si>
  <si>
    <t>10443</t>
  </si>
  <si>
    <t>10444</t>
  </si>
  <si>
    <t>10445</t>
  </si>
  <si>
    <t>10446</t>
  </si>
  <si>
    <t>10447</t>
  </si>
  <si>
    <t>10448</t>
  </si>
  <si>
    <t>10449</t>
  </si>
  <si>
    <t>10450</t>
  </si>
  <si>
    <t>10452</t>
  </si>
  <si>
    <t>10456</t>
  </si>
  <si>
    <t>10457</t>
  </si>
  <si>
    <t>10460</t>
  </si>
  <si>
    <t>10461</t>
  </si>
  <si>
    <t>10463</t>
  </si>
  <si>
    <t>10464</t>
  </si>
  <si>
    <t>10466</t>
  </si>
  <si>
    <t>10467</t>
  </si>
  <si>
    <t>10469</t>
  </si>
  <si>
    <t>10470</t>
  </si>
  <si>
    <t>10471</t>
  </si>
  <si>
    <t>10474</t>
  </si>
  <si>
    <t>10478</t>
  </si>
  <si>
    <t>10480</t>
  </si>
  <si>
    <t>10483</t>
  </si>
  <si>
    <t>10484</t>
  </si>
  <si>
    <t>10485</t>
  </si>
  <si>
    <t>10486</t>
  </si>
  <si>
    <t>10487</t>
  </si>
  <si>
    <t>10488</t>
  </si>
  <si>
    <t>10489</t>
  </si>
  <si>
    <t>10490</t>
  </si>
  <si>
    <t>10491</t>
  </si>
  <si>
    <t>10492</t>
  </si>
  <si>
    <t>10493</t>
  </si>
  <si>
    <t>10494</t>
  </si>
  <si>
    <t>10496</t>
  </si>
  <si>
    <t>10497</t>
  </si>
  <si>
    <t>10498</t>
  </si>
  <si>
    <t>10499</t>
  </si>
  <si>
    <t>10500</t>
  </si>
  <si>
    <t>10501</t>
  </si>
  <si>
    <t>10502</t>
  </si>
  <si>
    <t>10503</t>
  </si>
  <si>
    <t>10504</t>
  </si>
  <si>
    <t>10505</t>
  </si>
  <si>
    <t>10507</t>
  </si>
  <si>
    <t>10508</t>
  </si>
  <si>
    <t>10509</t>
  </si>
  <si>
    <t>10510</t>
  </si>
  <si>
    <t>10512</t>
  </si>
  <si>
    <t>10514</t>
  </si>
  <si>
    <t>10516</t>
  </si>
  <si>
    <t>10517</t>
  </si>
  <si>
    <t>10519</t>
  </si>
  <si>
    <t>10520</t>
  </si>
  <si>
    <t>10521</t>
  </si>
  <si>
    <t>10522</t>
  </si>
  <si>
    <t>10523</t>
  </si>
  <si>
    <t>10525</t>
  </si>
  <si>
    <t>10527</t>
  </si>
  <si>
    <t>10528</t>
  </si>
  <si>
    <t>10529</t>
  </si>
  <si>
    <t>10531</t>
  </si>
  <si>
    <t>10533</t>
  </si>
  <si>
    <t>10535</t>
  </si>
  <si>
    <t>10536</t>
  </si>
  <si>
    <t>10539</t>
  </si>
  <si>
    <t>10540</t>
  </si>
  <si>
    <t>10542</t>
  </si>
  <si>
    <t>10546</t>
  </si>
  <si>
    <t>10547</t>
  </si>
  <si>
    <t>10548</t>
  </si>
  <si>
    <t>10550</t>
  </si>
  <si>
    <t>10551</t>
  </si>
  <si>
    <t>10554</t>
  </si>
  <si>
    <t>10555</t>
  </si>
  <si>
    <t>10558</t>
  </si>
  <si>
    <t>10560</t>
  </si>
  <si>
    <t>10561</t>
  </si>
  <si>
    <t>10562</t>
  </si>
  <si>
    <t>10564</t>
  </si>
  <si>
    <t>10565</t>
  </si>
  <si>
    <t>10567</t>
  </si>
  <si>
    <t>10569</t>
  </si>
  <si>
    <t>10572</t>
  </si>
  <si>
    <t>10573</t>
  </si>
  <si>
    <t>10574</t>
  </si>
  <si>
    <t>10575</t>
  </si>
  <si>
    <t>10576</t>
  </si>
  <si>
    <t>10577</t>
  </si>
  <si>
    <t>10579</t>
  </si>
  <si>
    <t>10580</t>
  </si>
  <si>
    <t>10582</t>
  </si>
  <si>
    <t>10583</t>
  </si>
  <si>
    <t>10584</t>
  </si>
  <si>
    <t>10588</t>
  </si>
  <si>
    <t>10590</t>
  </si>
  <si>
    <t>10591</t>
  </si>
  <si>
    <t>10593</t>
  </si>
  <si>
    <t>10594</t>
  </si>
  <si>
    <t>10598</t>
  </si>
  <si>
    <t>10599</t>
  </si>
  <si>
    <t>10601</t>
  </si>
  <si>
    <t>10602</t>
  </si>
  <si>
    <t>10603</t>
  </si>
  <si>
    <t>10604</t>
  </si>
  <si>
    <t>10606</t>
  </si>
  <si>
    <t>10608</t>
  </si>
  <si>
    <t>10609</t>
  </si>
  <si>
    <t>10612</t>
  </si>
  <si>
    <t>10613</t>
  </si>
  <si>
    <t>10615</t>
  </si>
  <si>
    <t>10616</t>
  </si>
  <si>
    <t>10618</t>
  </si>
  <si>
    <t>10619</t>
  </si>
  <si>
    <t>10620</t>
  </si>
  <si>
    <t>10621</t>
  </si>
  <si>
    <t>10624</t>
  </si>
  <si>
    <t>10625</t>
  </si>
  <si>
    <t>10627</t>
  </si>
  <si>
    <t>10628</t>
  </si>
  <si>
    <t>10630</t>
  </si>
  <si>
    <t>10633</t>
  </si>
  <si>
    <t>10635</t>
  </si>
  <si>
    <t>10636</t>
  </si>
  <si>
    <t>10637</t>
  </si>
  <si>
    <t>10638</t>
  </si>
  <si>
    <t>10641</t>
  </si>
  <si>
    <t>10642</t>
  </si>
  <si>
    <t>10643</t>
  </si>
  <si>
    <t>10644</t>
  </si>
  <si>
    <t>10645</t>
  </si>
  <si>
    <t>10647</t>
  </si>
  <si>
    <t>10649</t>
  </si>
  <si>
    <t>10651</t>
  </si>
  <si>
    <t>10655</t>
  </si>
  <si>
    <t>10657</t>
  </si>
  <si>
    <t>10658</t>
  </si>
  <si>
    <t>10659</t>
  </si>
  <si>
    <t>10662</t>
  </si>
  <si>
    <t>10667</t>
  </si>
  <si>
    <t>10669</t>
  </si>
  <si>
    <t>10670</t>
  </si>
  <si>
    <t>10674</t>
  </si>
  <si>
    <t>10675</t>
  </si>
  <si>
    <t>10677</t>
  </si>
  <si>
    <t>10679</t>
  </si>
  <si>
    <t>10680</t>
  </si>
  <si>
    <t>10682</t>
  </si>
  <si>
    <t>10683</t>
  </si>
  <si>
    <t>10686</t>
  </si>
  <si>
    <t>10687</t>
  </si>
  <si>
    <t>10688</t>
  </si>
  <si>
    <t>10690</t>
  </si>
  <si>
    <t>10691</t>
  </si>
  <si>
    <t>10692</t>
  </si>
  <si>
    <t>10693</t>
  </si>
  <si>
    <t>10694</t>
  </si>
  <si>
    <t>10695</t>
  </si>
  <si>
    <t>10696</t>
  </si>
  <si>
    <t>10698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</si>
  <si>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</si>
  <si>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</si>
  <si>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</si>
  <si>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</si>
  <si>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</si>
  <si>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</si>
  <si>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</si>
  <si>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</si>
  <si>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</si>
  <si>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</si>
  <si>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10713</t>
  </si>
  <si>
    <t>10714</t>
  </si>
  <si>
    <t>10717</t>
  </si>
  <si>
    <t>10718</t>
  </si>
  <si>
    <t>10721</t>
  </si>
  <si>
    <t>10723</t>
  </si>
  <si>
    <t>10724</t>
  </si>
  <si>
    <t>10726</t>
  </si>
  <si>
    <t>10728</t>
  </si>
  <si>
    <t>10729</t>
  </si>
  <si>
    <t>10730</t>
  </si>
  <si>
    <t>10734</t>
  </si>
  <si>
    <t>10735</t>
  </si>
  <si>
    <t>10736</t>
  </si>
  <si>
    <t>10737</t>
  </si>
  <si>
    <t>10738</t>
  </si>
  <si>
    <t>10740</t>
  </si>
  <si>
    <t>10741</t>
  </si>
  <si>
    <t>10743</t>
  </si>
  <si>
    <t>10744</t>
  </si>
  <si>
    <t>10745</t>
  </si>
  <si>
    <t>10748</t>
  </si>
  <si>
    <t>10749</t>
  </si>
  <si>
    <t>10750</t>
  </si>
  <si>
    <t>10751</t>
  </si>
  <si>
    <t>10752</t>
  </si>
  <si>
    <t>10753</t>
  </si>
  <si>
    <t>10755</t>
  </si>
  <si>
    <t>10756</t>
  </si>
  <si>
    <t>10757</t>
  </si>
  <si>
    <t>10758</t>
  </si>
  <si>
    <t>10759</t>
  </si>
  <si>
    <t>10760</t>
  </si>
  <si>
    <t>10764</t>
  </si>
  <si>
    <t>10766</t>
  </si>
  <si>
    <t>10769</t>
  </si>
  <si>
    <t>10773</t>
  </si>
  <si>
    <t>10775</t>
  </si>
  <si>
    <t>10776</t>
  </si>
  <si>
    <t>10777</t>
  </si>
  <si>
    <t>10778</t>
  </si>
  <si>
    <t>10781</t>
  </si>
  <si>
    <t>10782</t>
  </si>
  <si>
    <t>10783</t>
  </si>
  <si>
    <t>10784</t>
  </si>
  <si>
    <t>10786</t>
  </si>
  <si>
    <t>10789</t>
  </si>
  <si>
    <t>10791</t>
  </si>
  <si>
    <t>10792</t>
  </si>
  <si>
    <t>10793</t>
  </si>
  <si>
    <t>10796</t>
  </si>
  <si>
    <t>10797</t>
  </si>
  <si>
    <t>10798</t>
  </si>
  <si>
    <t>10800</t>
  </si>
  <si>
    <t>10801</t>
  </si>
  <si>
    <t>10802</t>
  </si>
  <si>
    <t>10803</t>
  </si>
  <si>
    <t>10804</t>
  </si>
  <si>
    <t>10805</t>
  </si>
  <si>
    <t>10806</t>
  </si>
  <si>
    <t>10808</t>
  </si>
  <si>
    <t>10809</t>
  </si>
  <si>
    <t>10811</t>
  </si>
  <si>
    <t>10812</t>
  </si>
  <si>
    <t>10813</t>
  </si>
  <si>
    <t>10814</t>
  </si>
  <si>
    <t>10815</t>
  </si>
  <si>
    <t>10817</t>
  </si>
  <si>
    <t>10818</t>
  </si>
  <si>
    <t>10822</t>
  </si>
  <si>
    <t>10824</t>
  </si>
  <si>
    <t>10825</t>
  </si>
  <si>
    <t>10826</t>
  </si>
  <si>
    <t>10827</t>
  </si>
  <si>
    <t>10831</t>
  </si>
  <si>
    <t>10834</t>
  </si>
  <si>
    <t>10836</t>
  </si>
  <si>
    <t>10839</t>
  </si>
  <si>
    <t>10840</t>
  </si>
  <si>
    <t>10842</t>
  </si>
  <si>
    <t>10843</t>
  </si>
  <si>
    <t>10845</t>
  </si>
  <si>
    <t>10847</t>
  </si>
  <si>
    <t>10851</t>
  </si>
  <si>
    <t>10852</t>
  </si>
  <si>
    <t>10854</t>
  </si>
  <si>
    <t>10856</t>
  </si>
  <si>
    <t>10857</t>
  </si>
  <si>
    <t>10858</t>
  </si>
  <si>
    <t>10859</t>
  </si>
  <si>
    <t>10860</t>
  </si>
  <si>
    <t>10981</t>
  </si>
  <si>
    <t>11023</t>
  </si>
  <si>
    <t>11031</t>
  </si>
  <si>
    <t>11143</t>
  </si>
  <si>
    <t>11334</t>
  </si>
  <si>
    <t>11402</t>
  </si>
  <si>
    <t>11491</t>
  </si>
  <si>
    <t>11606</t>
  </si>
  <si>
    <t>11621</t>
  </si>
  <si>
    <t>11826</t>
  </si>
  <si>
    <t>11958</t>
  </si>
  <si>
    <t>12074</t>
  </si>
  <si>
    <t>12161</t>
  </si>
  <si>
    <t>12748</t>
  </si>
  <si>
    <t>13031</t>
  </si>
  <si>
    <t>13699</t>
  </si>
  <si>
    <t>14459</t>
  </si>
  <si>
    <t>15626</t>
  </si>
  <si>
    <t>19337</t>
  </si>
  <si>
    <t>19499</t>
  </si>
  <si>
    <t>19825</t>
  </si>
  <si>
    <t>19988</t>
  </si>
  <si>
    <t>20011</t>
  </si>
  <si>
    <t>MODELO</t>
  </si>
  <si>
    <t>SAFRA</t>
  </si>
  <si>
    <t>VARIAVEL</t>
  </si>
  <si>
    <t>CLASSE</t>
  </si>
  <si>
    <t>QTDE_TOT</t>
  </si>
  <si>
    <t>MODEL</t>
  </si>
  <si>
    <t>Baseline</t>
  </si>
  <si>
    <t>classe_HSPA</t>
  </si>
  <si>
    <t>09. 915 - 950</t>
  </si>
  <si>
    <t>04. 610 - 677</t>
  </si>
  <si>
    <t>10. 951 - 1000</t>
  </si>
  <si>
    <t>Out-of-Time</t>
  </si>
  <si>
    <t>classe_PPScore</t>
  </si>
  <si>
    <t>01. 0 - 293</t>
  </si>
  <si>
    <t>10. 899 - 1000</t>
  </si>
  <si>
    <t>classe_ddd_state</t>
  </si>
  <si>
    <t>SP</t>
  </si>
  <si>
    <t>Centro-Oeste</t>
  </si>
  <si>
    <t>classe_idade</t>
  </si>
  <si>
    <t>03. 26 - 30</t>
  </si>
  <si>
    <t>04. 31 - 35</t>
  </si>
  <si>
    <t>07. 746 - 796</t>
  </si>
  <si>
    <t>08. 797 - 841</t>
  </si>
  <si>
    <t>Sudeste -SP</t>
  </si>
  <si>
    <t>02. 294 - 404</t>
  </si>
  <si>
    <t>06. 675 - 745</t>
  </si>
  <si>
    <t>04. 507 - 583</t>
  </si>
  <si>
    <t>03. 405 - 506</t>
  </si>
  <si>
    <t>02. 442 - 535</t>
  </si>
  <si>
    <t>Norte</t>
  </si>
  <si>
    <t>Sul</t>
  </si>
  <si>
    <t>05. 678 - 737</t>
  </si>
  <si>
    <t>03. 536 - 609</t>
  </si>
  <si>
    <t>08. 869 - 914</t>
  </si>
  <si>
    <t>02. 21 - 25</t>
  </si>
  <si>
    <t>05. 584 - 674</t>
  </si>
  <si>
    <t>01. 18 - 20</t>
  </si>
  <si>
    <t>09. 842 - 898</t>
  </si>
  <si>
    <t>2021-06</t>
  </si>
  <si>
    <t>2021-04</t>
  </si>
  <si>
    <t>2021-03</t>
  </si>
  <si>
    <t>07. 793 - 868</t>
  </si>
  <si>
    <t>06. 738 - 792</t>
  </si>
  <si>
    <t>Nordeste</t>
  </si>
  <si>
    <t>Noroeste</t>
  </si>
  <si>
    <t>05. 36 - 40</t>
  </si>
  <si>
    <t>06. 41 - 50</t>
  </si>
  <si>
    <t>07. 51 - 90</t>
  </si>
  <si>
    <t>01. 0 - 441</t>
  </si>
  <si>
    <t>others</t>
  </si>
  <si>
    <t>PSI - Modelo Final</t>
  </si>
  <si>
    <t>Log Final</t>
  </si>
  <si>
    <t>Resumo VDI</t>
  </si>
  <si>
    <t>2021-01</t>
  </si>
  <si>
    <t>2021-02</t>
  </si>
  <si>
    <t>2021-05</t>
  </si>
  <si>
    <t>2021-07</t>
  </si>
  <si>
    <t>Model</t>
  </si>
  <si>
    <t>Vars Total: 13
Vars. Monit: 13
(100% Importancia)</t>
  </si>
  <si>
    <t>&lt; 10%</t>
  </si>
  <si>
    <t>&gt;= 10% e &lt; 25%</t>
  </si>
  <si>
    <t>&gt;= 25%</t>
  </si>
  <si>
    <t>Modelo</t>
  </si>
  <si>
    <t>VDI</t>
  </si>
  <si>
    <t>Modelo:</t>
  </si>
  <si>
    <t>(#) Volume</t>
  </si>
  <si>
    <t>(%) Volume</t>
  </si>
  <si>
    <t>PSI</t>
  </si>
  <si>
    <t>2021-08</t>
  </si>
  <si>
    <t>2021-09</t>
  </si>
  <si>
    <t>2021-10</t>
  </si>
  <si>
    <t>2021-11</t>
  </si>
  <si>
    <t>2021-12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</si>
</sst>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yyyy-mm"/>
    <numFmt numFmtId="165" formatCode="_-* #,##0.00_-;\-* #,##0.00_-;_-* &quot;-&quot;??_-;_-@"/>
    <numFmt numFmtId="166" formatCode="0.0%"/>
  </numFmts>
  <fonts count="20">
    <font>
      <sz val="11.0"/>
      <color theme="1"/>
      <name val="Arial"/>
      <scheme val="minor"/>
    </font>
    <font>
      <color theme="1"/>
      <name val="Calibri"/>
    </font>
    <font>
      <b/>
      <sz val="10.0"/>
      <color rgb="FFFFFFFF"/>
      <name val="Calibri"/>
    </font>
    <font>
      <b/>
      <sz val="10.0"/>
      <color theme="0"/>
      <name val="Calibri"/>
    </font>
    <font>
      <sz val="10.0"/>
      <color theme="1"/>
      <name val="Calibri"/>
    </font>
    <font>
      <sz val="10.0"/>
      <color theme="1"/>
      <name val="Arial"/>
    </font>
    <font>
      <sz val="11.0"/>
      <color theme="1"/>
      <name val="Calibri"/>
    </font>
    <font>
      <b/>
      <sz val="11.0"/>
      <color rgb="FFFFFFFF"/>
      <name val="Calibri"/>
    </font>
    <font>
      <b/>
      <sz val="11.0"/>
      <color theme="0"/>
      <name val="Calibri"/>
    </font>
    <font>
      <b/>
      <sz val="11.0"/>
      <color theme="1"/>
      <name val="Calibri"/>
    </font>
    <font/>
    <font>
      <b/>
      <sz val="11.0"/>
      <color rgb="FF00B050"/>
      <name val="Calibri"/>
    </font>
    <font>
      <b/>
      <sz val="11.0"/>
      <color rgb="FFED7D31"/>
      <name val="Calibri"/>
    </font>
    <font>
      <b/>
      <sz val="11.0"/>
      <color rgb="FFFF0000"/>
      <name val="Calibri"/>
    </font>
    <font>
      <sz val="12.0"/>
      <color theme="1"/>
      <name val="Calibri"/>
    </font>
    <font>
      <sz val="11.0"/>
      <color rgb="FFFF0000"/>
      <name val="Calibri"/>
    </font>
    <font>
      <sz val="11.0"/>
      <color rgb="FFFFFFFF"/>
      <name val="Calibri"/>
    </font>
    <font>
      <b/>
      <sz val="11.0"/>
      <color theme="1"/>
      <name val="Montserrat"/>
    </font>
    <font>
      <b/>
      <sz val="11.0"/>
      <color rgb="FFFFFFFF"/>
      <name val="Montserrat"/>
    </font>
    <font>
      <b/>
      <sz val="11.0"/>
      <color rgb="FF000000"/>
      <name val="Calibri"/>
    </font>
  </fonts>
  <fills count="14">
    <fill>
      <patternFill patternType="none"/>
    </fill>
    <fill>
      <patternFill patternType="lightGray"/>
    </fill>
    <fill>
      <patternFill patternType="solid">
        <fgColor rgb="FF7F7F7F"/>
        <bgColor rgb="FF7F7F7F"/>
      </patternFill>
    </fill>
    <fill>
      <patternFill patternType="solid">
        <fgColor rgb="FF595959"/>
        <bgColor rgb="FF595959"/>
      </patternFill>
    </fill>
    <fill>
      <patternFill patternType="solid">
        <fgColor rgb="FFBFBFBF"/>
        <bgColor rgb="FFBFBFBF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38761D"/>
        <bgColor rgb="FF38761D"/>
      </patternFill>
    </fill>
    <fill>
      <patternFill patternType="solid">
        <fgColor rgb="FFD8D8D8"/>
        <bgColor rgb="FFD8D8D8"/>
      </patternFill>
    </fill>
    <fill>
      <patternFill patternType="solid">
        <fgColor rgb="FFF3F3F3"/>
        <bgColor rgb="FFF3F3F3"/>
      </patternFill>
    </fill>
    <fill>
      <patternFill patternType="solid">
        <fgColor rgb="FF000000"/>
        <bgColor rgb="FF000000"/>
      </patternFill>
    </fill>
    <fill>
      <patternFill patternType="solid">
        <fgColor rgb="FFE7E6E6"/>
        <bgColor rgb="FFE7E6E6"/>
      </patternFill>
    </fill>
  </fills>
  <borders count="8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5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49" xfId="0" applyAlignment="1" applyBorder="1" applyFill="1" applyFont="1" applyNumberFormat="1">
      <alignment horizontal="left"/>
    </xf>
    <xf borderId="1" fillId="2" fontId="3" numFmtId="49" xfId="0" applyAlignment="1" applyBorder="1" applyFont="1" applyNumberFormat="1">
      <alignment horizontal="left"/>
    </xf>
    <xf borderId="1" fillId="2" fontId="3" numFmtId="3" xfId="0" applyAlignment="1" applyBorder="1" applyFont="1" applyNumberFormat="1">
      <alignment horizontal="left"/>
    </xf>
    <xf borderId="0" fillId="0" fontId="4" numFmtId="0" xfId="0" applyFont="1"/>
    <xf borderId="1" fillId="0" fontId="5" numFmtId="0" xfId="0" applyAlignment="1" applyBorder="1" applyFont="1">
      <alignment readingOrder="0" vertical="bottom"/>
    </xf>
    <xf borderId="1" fillId="0" fontId="5" numFmtId="0" xfId="0" applyAlignment="1" applyBorder="1" applyFont="1">
      <alignment horizontal="left" vertical="bottom"/>
    </xf>
    <xf borderId="1" fillId="0" fontId="5" numFmtId="0" xfId="0" applyAlignment="1" applyBorder="1" applyFont="1">
      <alignment vertical="bottom"/>
    </xf>
    <xf borderId="1" fillId="0" fontId="5" numFmtId="3" xfId="0" applyAlignment="1" applyBorder="1" applyFont="1" applyNumberFormat="1">
      <alignment horizontal="right" vertical="bottom"/>
    </xf>
    <xf borderId="1" fillId="0" fontId="5" numFmtId="164" xfId="0" applyAlignment="1" applyBorder="1" applyFont="1" applyNumberFormat="1">
      <alignment horizontal="left" vertical="bottom"/>
    </xf>
    <xf borderId="1" fillId="0" fontId="5" numFmtId="49" xfId="0" applyAlignment="1" applyBorder="1" applyFont="1" applyNumberFormat="1">
      <alignment horizontal="left" vertical="bottom"/>
    </xf>
    <xf borderId="1" fillId="0" fontId="5" numFmtId="49" xfId="0" applyAlignment="1" applyBorder="1" applyFont="1" applyNumberFormat="1">
      <alignment vertical="bottom"/>
    </xf>
    <xf borderId="1" fillId="0" fontId="5" numFmtId="0" xfId="0" applyAlignment="1" applyBorder="1" applyFont="1">
      <alignment horizontal="right" vertical="bottom"/>
    </xf>
    <xf borderId="0" fillId="0" fontId="6" numFmtId="0" xfId="0" applyFont="1"/>
    <xf borderId="1" fillId="3" fontId="7" numFmtId="0" xfId="0" applyAlignment="1" applyBorder="1" applyFill="1" applyFont="1">
      <alignment horizontal="center" vertical="center"/>
    </xf>
    <xf borderId="1" fillId="3" fontId="8" numFmtId="0" xfId="0" applyAlignment="1" applyBorder="1" applyFont="1">
      <alignment horizontal="center" vertical="center"/>
    </xf>
    <xf borderId="0" fillId="0" fontId="6" numFmtId="9" xfId="0" applyFont="1" applyNumberFormat="1"/>
    <xf borderId="1" fillId="4" fontId="9" numFmtId="0" xfId="0" applyAlignment="1" applyBorder="1" applyFill="1" applyFont="1">
      <alignment vertical="center"/>
    </xf>
    <xf borderId="1" fillId="3" fontId="8" numFmtId="9" xfId="0" applyAlignment="1" applyBorder="1" applyFont="1" applyNumberFormat="1">
      <alignment horizontal="center" vertical="center"/>
    </xf>
    <xf borderId="2" fillId="3" fontId="7" numFmtId="0" xfId="0" applyAlignment="1" applyBorder="1" applyFont="1">
      <alignment horizontal="center" vertical="center"/>
    </xf>
    <xf borderId="3" fillId="0" fontId="10" numFmtId="0" xfId="0" applyBorder="1" applyFont="1"/>
    <xf borderId="4" fillId="0" fontId="10" numFmtId="0" xfId="0" applyBorder="1" applyFont="1"/>
    <xf borderId="5" fillId="4" fontId="9" numFmtId="0" xfId="0" applyAlignment="1" applyBorder="1" applyFont="1">
      <alignment horizontal="center" readingOrder="0" vertical="center"/>
    </xf>
    <xf borderId="5" fillId="4" fontId="9" numFmtId="0" xfId="0" applyAlignment="1" applyBorder="1" applyFont="1">
      <alignment horizontal="center" vertical="center"/>
    </xf>
    <xf borderId="1" fillId="5" fontId="11" numFmtId="0" xfId="0" applyAlignment="1" applyBorder="1" applyFill="1" applyFont="1">
      <alignment vertical="center"/>
    </xf>
    <xf borderId="1" fillId="0" fontId="1" numFmtId="3" xfId="0" applyBorder="1" applyFont="1" applyNumberFormat="1"/>
    <xf borderId="6" fillId="0" fontId="10" numFmtId="0" xfId="0" applyBorder="1" applyFont="1"/>
    <xf borderId="1" fillId="6" fontId="12" numFmtId="0" xfId="0" applyAlignment="1" applyBorder="1" applyFill="1" applyFont="1">
      <alignment vertical="center"/>
    </xf>
    <xf borderId="7" fillId="0" fontId="10" numFmtId="0" xfId="0" applyBorder="1" applyFont="1"/>
    <xf borderId="1" fillId="7" fontId="13" numFmtId="0" xfId="0" applyAlignment="1" applyBorder="1" applyFill="1" applyFont="1">
      <alignment vertical="center"/>
    </xf>
    <xf borderId="0" fillId="0" fontId="6" numFmtId="165" xfId="0" applyFont="1" applyNumberFormat="1"/>
    <xf borderId="0" fillId="0" fontId="14" numFmtId="0" xfId="0" applyFont="1"/>
    <xf borderId="1" fillId="8" fontId="9" numFmtId="0" xfId="0" applyAlignment="1" applyBorder="1" applyFill="1" applyFont="1">
      <alignment horizontal="left" vertical="center"/>
    </xf>
    <xf borderId="1" fillId="3" fontId="8" numFmtId="166" xfId="0" applyAlignment="1" applyBorder="1" applyFont="1" applyNumberFormat="1">
      <alignment horizontal="center" vertical="center"/>
    </xf>
    <xf borderId="6" fillId="4" fontId="9" numFmtId="0" xfId="0" applyAlignment="1" applyBorder="1" applyFont="1">
      <alignment horizontal="center" readingOrder="0" vertical="center"/>
    </xf>
    <xf borderId="7" fillId="4" fontId="9" numFmtId="0" xfId="0" applyAlignment="1" applyBorder="1" applyFont="1">
      <alignment horizontal="center" readingOrder="0" vertical="center"/>
    </xf>
    <xf borderId="0" fillId="0" fontId="15" numFmtId="0" xfId="0" applyFont="1"/>
    <xf borderId="0" fillId="0" fontId="16" numFmtId="0" xfId="0" applyFont="1"/>
    <xf borderId="0" fillId="0" fontId="16" numFmtId="0" xfId="0" applyAlignment="1" applyFont="1">
      <alignment readingOrder="0"/>
    </xf>
    <xf borderId="2" fillId="8" fontId="17" numFmtId="0" xfId="0" applyAlignment="1" applyBorder="1" applyFont="1">
      <alignment horizontal="center" vertical="center"/>
    </xf>
    <xf borderId="1" fillId="9" fontId="18" numFmtId="0" xfId="0" applyAlignment="1" applyBorder="1" applyFill="1" applyFont="1">
      <alignment horizontal="center" vertical="center"/>
    </xf>
    <xf quotePrefix="1" borderId="1" fillId="3" fontId="7" numFmtId="0" xfId="0" applyAlignment="1" applyBorder="1" applyFont="1">
      <alignment horizontal="center" vertical="center"/>
    </xf>
    <xf borderId="1" fillId="10" fontId="9" numFmtId="0" xfId="0" applyAlignment="1" applyBorder="1" applyFill="1" applyFont="1">
      <alignment horizontal="left" vertical="center"/>
    </xf>
    <xf borderId="1" fillId="0" fontId="6" numFmtId="3" xfId="0" applyAlignment="1" applyBorder="1" applyFont="1" applyNumberFormat="1">
      <alignment horizontal="center" vertical="center"/>
    </xf>
    <xf borderId="1" fillId="0" fontId="6" numFmtId="9" xfId="0" applyAlignment="1" applyBorder="1" applyFont="1" applyNumberFormat="1">
      <alignment horizontal="center" vertical="center"/>
    </xf>
    <xf borderId="1" fillId="11" fontId="6" numFmtId="3" xfId="0" applyAlignment="1" applyBorder="1" applyFill="1" applyFont="1" applyNumberFormat="1">
      <alignment horizontal="center" vertical="center"/>
    </xf>
    <xf borderId="1" fillId="11" fontId="6" numFmtId="9" xfId="0" applyAlignment="1" applyBorder="1" applyFont="1" applyNumberFormat="1">
      <alignment horizontal="center" vertical="center"/>
    </xf>
    <xf borderId="1" fillId="12" fontId="8" numFmtId="0" xfId="0" applyAlignment="1" applyBorder="1" applyFill="1" applyFont="1">
      <alignment horizontal="center" vertical="center"/>
    </xf>
    <xf borderId="1" fillId="13" fontId="19" numFmtId="3" xfId="0" applyAlignment="1" applyBorder="1" applyFill="1" applyFont="1" applyNumberFormat="1">
      <alignment horizontal="center" vertical="center"/>
    </xf>
    <xf borderId="1" fillId="13" fontId="19" numFmtId="9" xfId="0" applyAlignment="1" applyBorder="1" applyFont="1" applyNumberFormat="1">
      <alignment horizontal="center" vertical="center"/>
    </xf>
    <xf borderId="0" fillId="0" fontId="6" numFmtId="3" xfId="0" applyFont="1" applyNumberFormat="1"/>
  </cellXfs>
  <cellStyles count="1">
    <cellStyle xfId="0" name="Normal" builtinId="0"/>
  </cellStyles>
  <dxfs count="6">
    <dxf>
      <font>
        <b/>
        <color rgb="FFFF0000"/>
      </font>
      <fill>
        <patternFill patternType="solid">
          <fgColor rgb="FFF4CCCC"/>
          <bgColor rgb="FFF4CCCC"/>
        </patternFill>
      </fill>
      <border/>
    </dxf>
    <dxf>
      <font>
        <b/>
        <color rgb="FFED7D31"/>
      </font>
      <fill>
        <patternFill patternType="solid">
          <fgColor rgb="FFFFF2CC"/>
          <bgColor rgb="FFFFF2CC"/>
        </patternFill>
      </fill>
      <border/>
    </dxf>
    <dxf>
      <font>
        <b/>
        <color rgb="FF00B050"/>
      </font>
      <fill>
        <patternFill patternType="solid">
          <fgColor rgb="FFD9EAD3"/>
          <bgColor rgb="FFD9EAD3"/>
        </patternFill>
      </fill>
      <border/>
    </dxf>
    <dxf>
      <font>
        <color rgb="FFFFFFFF"/>
      </font>
      <fill>
        <patternFill patternType="solid">
          <fgColor rgb="FFFFFFFF"/>
          <bgColor rgb="FFFFFFFF"/>
        </patternFill>
      </fill>
      <border/>
    </dxf>
    <dxf>
      <font>
        <b/>
        <color rgb="FFFFFFFF"/>
      </font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strRef>
              <c:f>SUMMARY!$D$3</c:f>
            </c:strRef>
          </c:tx>
          <c:spPr>
            <a:ln cmpd="sng">
              <a:solidFill>
                <a:srgbClr val="00B050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 sz="1200">
                    <a:solidFill>
                      <a:srgbClr val="00B050"/>
                    </a:solidFill>
                    <a:latin typeface="Arial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SUMMARY!$E$2:$K$2</c:f>
            </c:strRef>
          </c:cat>
          <c:val>
            <c:numRef>
              <c:f>SUMMARY!$E$3:$K$3</c:f>
              <c:numCache/>
            </c:numRef>
          </c:val>
          <c:smooth val="1"/>
        </c:ser>
        <c:axId val="1083203217"/>
        <c:axId val="1225014162"/>
      </c:lineChart>
      <c:catAx>
        <c:axId val="10832032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>
                <a:solidFill>
                  <a:srgbClr val="000000"/>
                </a:solidFill>
                <a:latin typeface="Arial"/>
              </a:defRPr>
            </a:pPr>
          </a:p>
        </c:txPr>
        <c:crossAx val="1225014162"/>
      </c:catAx>
      <c:valAx>
        <c:axId val="1225014162"/>
        <c:scaling>
          <c:orientation val="minMax"/>
          <c:max val="0.35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Arial"/>
              </a:defRPr>
            </a:pPr>
          </a:p>
        </c:txPr>
        <c:crossAx val="1083203217"/>
      </c:valAx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Arial"/>
            </a:defRPr>
          </a:pPr>
        </a:p>
      </c:txPr>
    </c:legend>
    <c:plotVisOnly val="1"/>
  </c:chart>
  <c:spPr>
    <a:solidFill>
      <a:srgbClr val="FFFFFF">
        <a:alpha val="0"/>
      </a:srgbClr>
    </a:solidFill>
  </c:spPr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266700</xdr:colOff>
      <xdr:row>10</xdr:row>
      <xdr:rowOff>85725</xdr:rowOff>
    </xdr:from>
    <xdr:ext cx="5353050" cy="2695575"/>
    <xdr:graphicFrame>
      <xdr:nvGraphicFramePr>
        <xdr:cNvPr id="118327435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333375</xdr:colOff>
      <xdr:row>18</xdr:row>
      <xdr:rowOff>114300</xdr:rowOff>
    </xdr:from>
    <xdr:ext cx="5219700" cy="600075"/>
    <xdr:sp>
      <xdr:nvSpPr>
        <xdr:cNvPr id="3" name="Shape 3"/>
        <xdr:cNvSpPr/>
      </xdr:nvSpPr>
      <xdr:spPr>
        <a:xfrm>
          <a:off x="2740913" y="3484725"/>
          <a:ext cx="5210175" cy="590550"/>
        </a:xfrm>
        <a:prstGeom prst="rect">
          <a:avLst/>
        </a:prstGeom>
        <a:solidFill>
          <a:srgbClr val="D9EAD3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12</xdr:col>
      <xdr:colOff>333375</xdr:colOff>
      <xdr:row>14</xdr:row>
      <xdr:rowOff>47625</xdr:rowOff>
    </xdr:from>
    <xdr:ext cx="5219700" cy="904875"/>
    <xdr:sp>
      <xdr:nvSpPr>
        <xdr:cNvPr id="4" name="Shape 4"/>
        <xdr:cNvSpPr/>
      </xdr:nvSpPr>
      <xdr:spPr>
        <a:xfrm>
          <a:off x="2740913" y="3332325"/>
          <a:ext cx="5210175" cy="895350"/>
        </a:xfrm>
        <a:prstGeom prst="rect">
          <a:avLst/>
        </a:prstGeom>
        <a:solidFill>
          <a:srgbClr val="FFF2CC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12</xdr:col>
      <xdr:colOff>333375</xdr:colOff>
      <xdr:row>10</xdr:row>
      <xdr:rowOff>76200</xdr:rowOff>
    </xdr:from>
    <xdr:ext cx="5219700" cy="904875"/>
    <xdr:sp>
      <xdr:nvSpPr>
        <xdr:cNvPr id="5" name="Shape 5"/>
        <xdr:cNvSpPr/>
      </xdr:nvSpPr>
      <xdr:spPr>
        <a:xfrm>
          <a:off x="2740913" y="3332325"/>
          <a:ext cx="5210175" cy="895350"/>
        </a:xfrm>
        <a:prstGeom prst="rect">
          <a:avLst/>
        </a:prstGeom>
        <a:solidFill>
          <a:srgbClr val="F4CCCC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238125</xdr:colOff>
      <xdr:row>1</xdr:row>
      <xdr:rowOff>57150</xdr:rowOff>
    </xdr:from>
    <xdr:ext cx="10696575" cy="495300"/>
    <xdr:grpSp>
      <xdr:nvGrpSpPr>
        <xdr:cNvPr id="2" name="Shape 2"/>
        <xdr:cNvGrpSpPr/>
      </xdr:nvGrpSpPr>
      <xdr:grpSpPr>
        <a:xfrm>
          <a:off x="0" y="3532350"/>
          <a:ext cx="10692000" cy="495300"/>
          <a:chOff x="0" y="3532350"/>
          <a:chExt cx="10692000" cy="495300"/>
        </a:xfrm>
      </xdr:grpSpPr>
      <xdr:grpSp>
        <xdr:nvGrpSpPr>
          <xdr:cNvPr id="6" name="Shape 6"/>
          <xdr:cNvGrpSpPr/>
        </xdr:nvGrpSpPr>
        <xdr:grpSpPr>
          <a:xfrm>
            <a:off x="0" y="3532350"/>
            <a:ext cx="10692000" cy="495300"/>
            <a:chOff x="0" y="3532350"/>
            <a:chExt cx="10692000" cy="495300"/>
          </a:xfrm>
        </xdr:grpSpPr>
        <xdr:sp>
          <xdr:nvSpPr>
            <xdr:cNvPr id="7" name="Shape 7"/>
            <xdr:cNvSpPr/>
          </xdr:nvSpPr>
          <xdr:spPr>
            <a:xfrm>
              <a:off x="0" y="3532350"/>
              <a:ext cx="10692000" cy="4953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8" name="Shape 8"/>
            <xdr:cNvGrpSpPr/>
          </xdr:nvGrpSpPr>
          <xdr:grpSpPr>
            <a:xfrm>
              <a:off x="0" y="3532350"/>
              <a:ext cx="10692000" cy="495300"/>
              <a:chOff x="0" y="3532350"/>
              <a:chExt cx="10692001" cy="495300"/>
            </a:xfrm>
          </xdr:grpSpPr>
          <xdr:sp>
            <xdr:nvSpPr>
              <xdr:cNvPr id="9" name="Shape 9"/>
              <xdr:cNvSpPr/>
            </xdr:nvSpPr>
            <xdr:spPr>
              <a:xfrm>
                <a:off x="0" y="3532350"/>
                <a:ext cx="10692000" cy="4953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91425" lIns="91425" spcFirstLastPara="1" rIns="91425" wrap="square" tIns="91425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r>
                  <a:t/>
                </a:r>
                <a:endParaRPr sz="1400"/>
              </a:p>
            </xdr:txBody>
          </xdr:sp>
          <xdr:grpSp>
            <xdr:nvGrpSpPr>
              <xdr:cNvPr id="10" name="Shape 10" title="Drawing"/>
              <xdr:cNvGrpSpPr/>
            </xdr:nvGrpSpPr>
            <xdr:grpSpPr>
              <a:xfrm>
                <a:off x="0" y="3532350"/>
                <a:ext cx="10692001" cy="495300"/>
                <a:chOff x="0" y="3541875"/>
                <a:chExt cx="10692001" cy="476250"/>
              </a:xfrm>
            </xdr:grpSpPr>
            <xdr:sp>
              <xdr:nvSpPr>
                <xdr:cNvPr id="11" name="Shape 11"/>
                <xdr:cNvSpPr/>
              </xdr:nvSpPr>
              <xdr:spPr>
                <a:xfrm>
                  <a:off x="0" y="3541875"/>
                  <a:ext cx="10692000" cy="4762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91425" lIns="91425" spcFirstLastPara="1" rIns="91425" wrap="square" tIns="91425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400"/>
                    <a:buFont typeface="Arial"/>
                    <a:buNone/>
                  </a:pPr>
                  <a:r>
                    <a:t/>
                  </a:r>
                  <a:endParaRPr sz="1400"/>
                </a:p>
              </xdr:txBody>
            </xdr:sp>
            <xdr:grpSp>
              <xdr:nvGrpSpPr>
                <xdr:cNvPr id="12" name="Shape 12"/>
                <xdr:cNvGrpSpPr/>
              </xdr:nvGrpSpPr>
              <xdr:grpSpPr>
                <a:xfrm>
                  <a:off x="0" y="3541875"/>
                  <a:ext cx="10692001" cy="476250"/>
                  <a:chOff x="476251" y="511969"/>
                  <a:chExt cx="13942218" cy="464344"/>
                </a:xfrm>
              </xdr:grpSpPr>
              <xdr:sp>
                <xdr:nvSpPr>
                  <xdr:cNvPr id="13" name="Shape 13"/>
                  <xdr:cNvSpPr/>
                </xdr:nvSpPr>
                <xdr:spPr>
                  <a:xfrm>
                    <a:off x="476251" y="511969"/>
                    <a:ext cx="13942200" cy="46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anchorCtr="0" anchor="ctr" bIns="91425" lIns="91425" spcFirstLastPara="1" rIns="91425" wrap="square" tIns="91425">
                    <a:noAutofit/>
                  </a:bodyPr>
                  <a:lstStyle/>
                  <a:p>
                    <a:pPr indent="0" lvl="0" marL="0" rtl="0" algn="l">
                      <a:spcBef>
                        <a:spcPts val="0"/>
                      </a:spcBef>
                      <a:spcAft>
                        <a:spcPts val="0"/>
                      </a:spcAft>
                      <a:buSzPts val="1400"/>
                      <a:buFont typeface="Arial"/>
                      <a:buNone/>
                    </a:pPr>
                    <a:r>
                      <a:t/>
                    </a:r>
                    <a:endParaRPr sz="1400"/>
                  </a:p>
                </xdr:txBody>
              </xdr:sp>
              <xdr:grpSp>
                <xdr:nvGrpSpPr>
                  <xdr:cNvPr id="14" name="Shape 14"/>
                  <xdr:cNvGrpSpPr/>
                </xdr:nvGrpSpPr>
                <xdr:grpSpPr>
                  <a:xfrm>
                    <a:off x="476251" y="511969"/>
                    <a:ext cx="6250784" cy="432000"/>
                    <a:chOff x="523875" y="190499"/>
                    <a:chExt cx="6250784" cy="432000"/>
                  </a:xfrm>
                </xdr:grpSpPr>
                <xdr:sp>
                  <xdr:nvSpPr>
                    <xdr:cNvPr id="15" name="Shape 15"/>
                    <xdr:cNvSpPr/>
                  </xdr:nvSpPr>
                  <xdr:spPr>
                    <a:xfrm>
                      <a:off x="523875" y="190499"/>
                      <a:ext cx="5869781" cy="432000"/>
                    </a:xfrm>
                    <a:prstGeom prst="rect">
                      <a:avLst/>
                    </a:prstGeom>
                    <a:solidFill>
                      <a:srgbClr val="666666"/>
                    </a:solidFill>
                    <a:ln cap="flat" cmpd="sng" w="9525">
                      <a:solidFill>
                        <a:srgbClr val="666666"/>
                      </a:solidFill>
                      <a:prstDash val="solid"/>
                      <a:round/>
                      <a:headEnd len="sm" w="sm" type="none"/>
                      <a:tailEnd len="sm" w="sm" type="none"/>
                    </a:ln>
                  </xdr:spPr>
                  <xdr:txBody>
                    <a:bodyPr anchorCtr="0" anchor="t" bIns="45700" lIns="91425" spcFirstLastPara="1" rIns="91425" wrap="square" tIns="4570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SzPts val="1100"/>
                        <a:buFont typeface="Arial"/>
                        <a:buNone/>
                      </a:pPr>
                      <a:r>
                        <a:t/>
                      </a:r>
                      <a:endParaRPr sz="1100"/>
                    </a:p>
                  </xdr:txBody>
                </xdr:sp>
                <xdr:sp>
                  <xdr:nvSpPr>
                    <xdr:cNvPr id="16" name="Shape 16"/>
                    <xdr:cNvSpPr/>
                  </xdr:nvSpPr>
                  <xdr:spPr>
                    <a:xfrm>
                      <a:off x="6393659" y="190499"/>
                      <a:ext cx="381000" cy="432000"/>
                    </a:xfrm>
                    <a:prstGeom prst="rtTriangle">
                      <a:avLst/>
                    </a:prstGeom>
                    <a:solidFill>
                      <a:srgbClr val="666666"/>
                    </a:solidFill>
                    <a:ln cap="flat" cmpd="sng" w="9525">
                      <a:solidFill>
                        <a:srgbClr val="666666"/>
                      </a:solidFill>
                      <a:prstDash val="solid"/>
                      <a:round/>
                      <a:headEnd len="sm" w="sm" type="none"/>
                      <a:tailEnd len="sm" w="sm" type="none"/>
                    </a:ln>
                  </xdr:spPr>
                  <xdr:txBody>
                    <a:bodyPr anchorCtr="0" anchor="t" bIns="45700" lIns="91425" spcFirstLastPara="1" rIns="91425" wrap="square" tIns="45700">
                      <a:noAutofit/>
                    </a:bodyPr>
                    <a:lstStyle/>
                    <a:p>
                      <a:pPr indent="0" lvl="0" marL="0" rtl="0" algn="l">
                        <a:spcBef>
                          <a:spcPts val="0"/>
                        </a:spcBef>
                        <a:spcAft>
                          <a:spcPts val="0"/>
                        </a:spcAft>
                        <a:buSzPts val="1100"/>
                        <a:buFont typeface="Arial"/>
                        <a:buNone/>
                      </a:pPr>
                      <a:r>
                        <a:t/>
                      </a:r>
                      <a:endParaRPr sz="1100"/>
                    </a:p>
                  </xdr:txBody>
                </xdr:sp>
              </xdr:grpSp>
              <xdr:cxnSp>
                <xdr:nvCxnSpPr>
                  <xdr:cNvPr id="17" name="Shape 17"/>
                  <xdr:cNvCxnSpPr/>
                </xdr:nvCxnSpPr>
                <xdr:spPr>
                  <a:xfrm flipH="1" rot="10800000">
                    <a:off x="476251" y="952500"/>
                    <a:ext cx="13942218" cy="23813"/>
                  </a:xfrm>
                  <a:prstGeom prst="straightConnector1">
                    <a:avLst/>
                  </a:prstGeom>
                  <a:noFill/>
                  <a:ln cap="flat" cmpd="sng" w="19050">
                    <a:solidFill>
                      <a:srgbClr val="666666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</xdr:cxnSp>
            </xdr:grpSp>
          </xdr:grpSp>
        </xdr:grpSp>
      </xdr:grpSp>
    </xdr:grpSp>
    <xdr:clientData fLocksWithSheet="0"/>
  </xdr:oneCellAnchor>
  <xdr:oneCellAnchor>
    <xdr:from>
      <xdr:col>0</xdr:col>
      <xdr:colOff>209550</xdr:colOff>
      <xdr:row>1</xdr:row>
      <xdr:rowOff>85725</xdr:rowOff>
    </xdr:from>
    <xdr:ext cx="10267950" cy="523875"/>
    <xdr:sp>
      <xdr:nvSpPr>
        <xdr:cNvPr id="18" name="Shape 18"/>
        <xdr:cNvSpPr txBox="1"/>
      </xdr:nvSpPr>
      <xdr:spPr>
        <a:xfrm>
          <a:off x="216788" y="3522825"/>
          <a:ext cx="10258425" cy="5143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chemeClr val="lt1"/>
            </a:buClr>
            <a:buSzPts val="1600"/>
            <a:buFont typeface="Calibri"/>
            <a:buNone/>
          </a:pPr>
          <a:r>
            <a:rPr b="1" lang="en-US" sz="16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01. Estabilidade New Consumer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7.63"/>
    <col customWidth="1" min="3" max="3" width="16.0"/>
    <col customWidth="1" min="4" max="26" width="7.63"/>
  </cols>
  <sheetData>
    <row r="1">
      <c r="A1" s="1" t="s">
        <v>0</v>
      </c>
      <c r="C1" s="1" t="s">
        <v>1</v>
      </c>
    </row>
    <row r="2">
      <c r="A2" s="1" t="s">
        <v>2</v>
      </c>
      <c r="C2" s="1" t="s">
        <v>3</v>
      </c>
    </row>
    <row r="3">
      <c r="A3" s="1" t="s">
        <v>4</v>
      </c>
      <c r="C3" s="1" t="s">
        <v>5</v>
      </c>
    </row>
    <row r="4">
      <c r="A4" s="1" t="s">
        <v>6</v>
      </c>
      <c r="C4" s="1" t="s">
        <v>7</v>
      </c>
    </row>
    <row r="5">
      <c r="A5" s="1" t="s">
        <v>8</v>
      </c>
      <c r="C5" s="1" t="s">
        <v>9</v>
      </c>
    </row>
    <row r="6">
      <c r="A6" s="1" t="s">
        <v>10</v>
      </c>
      <c r="C6" s="1" t="s">
        <v>11</v>
      </c>
    </row>
    <row r="7">
      <c r="A7" s="1" t="s">
        <v>12</v>
      </c>
    </row>
    <row r="8">
      <c r="A8" s="1" t="s">
        <v>13</v>
      </c>
    </row>
    <row r="9">
      <c r="A9" s="1" t="s">
        <v>14</v>
      </c>
    </row>
    <row r="10">
      <c r="A10" s="1" t="s">
        <v>15</v>
      </c>
    </row>
    <row r="11">
      <c r="A11" s="1" t="s">
        <v>16</v>
      </c>
    </row>
    <row r="12">
      <c r="A12" s="1" t="s">
        <v>17</v>
      </c>
    </row>
    <row r="13">
      <c r="A13" s="1" t="s">
        <v>18</v>
      </c>
    </row>
    <row r="14">
      <c r="A14" s="1" t="s">
        <v>19</v>
      </c>
    </row>
    <row r="15">
      <c r="A15" s="1" t="s">
        <v>20</v>
      </c>
    </row>
    <row r="16">
      <c r="A16" s="1" t="s">
        <v>21</v>
      </c>
    </row>
    <row r="17">
      <c r="A17" s="1" t="s">
        <v>22</v>
      </c>
    </row>
    <row r="18">
      <c r="A18" s="1" t="s">
        <v>23</v>
      </c>
    </row>
    <row r="19">
      <c r="A19" s="1" t="s">
        <v>24</v>
      </c>
    </row>
    <row r="20">
      <c r="A20" s="1" t="s">
        <v>25</v>
      </c>
    </row>
    <row r="21" ht="15.75" customHeight="1">
      <c r="A21" s="1" t="s">
        <v>26</v>
      </c>
    </row>
    <row r="22" ht="15.75" customHeight="1">
      <c r="A22" s="1" t="s">
        <v>27</v>
      </c>
    </row>
    <row r="23" ht="15.75" customHeight="1">
      <c r="A23" s="1" t="s">
        <v>28</v>
      </c>
    </row>
    <row r="24" ht="15.75" customHeight="1">
      <c r="A24" s="1" t="s">
        <v>29</v>
      </c>
    </row>
    <row r="25" ht="15.75" customHeight="1">
      <c r="A25" s="1" t="s">
        <v>30</v>
      </c>
    </row>
    <row r="26" ht="15.75" customHeight="1">
      <c r="A26" s="1" t="s">
        <v>31</v>
      </c>
    </row>
    <row r="27" ht="15.75" customHeight="1">
      <c r="A27" s="1" t="s">
        <v>32</v>
      </c>
    </row>
    <row r="28" ht="15.75" customHeight="1">
      <c r="A28" s="1" t="s">
        <v>33</v>
      </c>
    </row>
    <row r="29" ht="15.75" customHeight="1">
      <c r="A29" s="1" t="s">
        <v>34</v>
      </c>
    </row>
    <row r="30" ht="15.75" customHeight="1">
      <c r="A30" s="1" t="s">
        <v>35</v>
      </c>
    </row>
    <row r="31" ht="15.75" customHeight="1">
      <c r="A31" s="1" t="s">
        <v>36</v>
      </c>
    </row>
    <row r="32" ht="15.75" customHeight="1">
      <c r="A32" s="1" t="s">
        <v>37</v>
      </c>
    </row>
    <row r="33" ht="15.75" customHeight="1">
      <c r="A33" s="1" t="s">
        <v>38</v>
      </c>
    </row>
    <row r="34" ht="15.75" customHeight="1">
      <c r="A34" s="1" t="s">
        <v>39</v>
      </c>
    </row>
    <row r="35" ht="15.75" customHeight="1">
      <c r="A35" s="1" t="s">
        <v>40</v>
      </c>
    </row>
    <row r="36" ht="15.75" customHeight="1">
      <c r="A36" s="1" t="s">
        <v>41</v>
      </c>
    </row>
    <row r="37" ht="15.75" customHeight="1">
      <c r="A37" s="1" t="s">
        <v>42</v>
      </c>
    </row>
    <row r="38" ht="15.75" customHeight="1">
      <c r="A38" s="1" t="s">
        <v>43</v>
      </c>
    </row>
    <row r="39" ht="15.75" customHeight="1">
      <c r="A39" s="1" t="s">
        <v>44</v>
      </c>
    </row>
    <row r="40" ht="15.75" customHeight="1">
      <c r="A40" s="1" t="s">
        <v>45</v>
      </c>
    </row>
    <row r="41" ht="15.75" customHeight="1">
      <c r="A41" s="1" t="s">
        <v>46</v>
      </c>
    </row>
    <row r="42" ht="15.75" customHeight="1">
      <c r="A42" s="1" t="s">
        <v>47</v>
      </c>
    </row>
    <row r="43" ht="15.75" customHeight="1">
      <c r="A43" s="1" t="s">
        <v>48</v>
      </c>
    </row>
    <row r="44" ht="15.75" customHeight="1">
      <c r="A44" s="1" t="s">
        <v>49</v>
      </c>
    </row>
    <row r="45" ht="15.75" customHeight="1">
      <c r="A45" s="1" t="s">
        <v>50</v>
      </c>
    </row>
    <row r="46" ht="15.75" customHeight="1">
      <c r="A46" s="1" t="s">
        <v>51</v>
      </c>
    </row>
    <row r="47" ht="15.75" customHeight="1">
      <c r="A47" s="1" t="s">
        <v>52</v>
      </c>
    </row>
    <row r="48" ht="15.75" customHeight="1">
      <c r="A48" s="1" t="s">
        <v>53</v>
      </c>
    </row>
    <row r="49" ht="15.75" customHeight="1">
      <c r="A49" s="1" t="s">
        <v>54</v>
      </c>
    </row>
    <row r="50" ht="15.75" customHeight="1">
      <c r="A50" s="1" t="s">
        <v>55</v>
      </c>
    </row>
    <row r="51" ht="15.75" customHeight="1">
      <c r="A51" s="1" t="s">
        <v>56</v>
      </c>
    </row>
    <row r="52" ht="15.75" customHeight="1">
      <c r="A52" s="1" t="s">
        <v>57</v>
      </c>
    </row>
    <row r="53" ht="15.75" customHeight="1">
      <c r="A53" s="1" t="s">
        <v>58</v>
      </c>
    </row>
    <row r="54" ht="15.75" customHeight="1">
      <c r="A54" s="1" t="s">
        <v>59</v>
      </c>
    </row>
    <row r="55" ht="15.75" customHeight="1">
      <c r="A55" s="1" t="s">
        <v>60</v>
      </c>
    </row>
    <row r="56" ht="15.75" customHeight="1">
      <c r="A56" s="1" t="s">
        <v>61</v>
      </c>
    </row>
    <row r="57" ht="15.75" customHeight="1">
      <c r="A57" s="1" t="s">
        <v>62</v>
      </c>
    </row>
    <row r="58" ht="15.75" customHeight="1">
      <c r="A58" s="1" t="s">
        <v>63</v>
      </c>
    </row>
    <row r="59" ht="15.75" customHeight="1">
      <c r="A59" s="1" t="s">
        <v>64</v>
      </c>
    </row>
    <row r="60" ht="15.75" customHeight="1">
      <c r="A60" s="1" t="s">
        <v>65</v>
      </c>
    </row>
    <row r="61" ht="15.75" customHeight="1">
      <c r="A61" s="1" t="s">
        <v>66</v>
      </c>
    </row>
    <row r="62" ht="15.75" customHeight="1">
      <c r="A62" s="1" t="s">
        <v>67</v>
      </c>
    </row>
    <row r="63" ht="15.75" customHeight="1">
      <c r="A63" s="1" t="s">
        <v>68</v>
      </c>
    </row>
    <row r="64" ht="15.75" customHeight="1">
      <c r="A64" s="1" t="s">
        <v>69</v>
      </c>
    </row>
    <row r="65" ht="15.75" customHeight="1">
      <c r="A65" s="1" t="s">
        <v>70</v>
      </c>
    </row>
    <row r="66" ht="15.75" customHeight="1">
      <c r="A66" s="1" t="s">
        <v>71</v>
      </c>
    </row>
    <row r="67" ht="15.75" customHeight="1">
      <c r="A67" s="1" t="s">
        <v>72</v>
      </c>
    </row>
    <row r="68" ht="15.75" customHeight="1">
      <c r="A68" s="1" t="s">
        <v>73</v>
      </c>
    </row>
    <row r="69" ht="15.75" customHeight="1">
      <c r="A69" s="1" t="s">
        <v>74</v>
      </c>
    </row>
    <row r="70" ht="15.75" customHeight="1">
      <c r="A70" s="1" t="s">
        <v>75</v>
      </c>
    </row>
    <row r="71" ht="15.75" customHeight="1">
      <c r="A71" s="1" t="s">
        <v>76</v>
      </c>
    </row>
    <row r="72" ht="15.75" customHeight="1">
      <c r="A72" s="1" t="s">
        <v>77</v>
      </c>
    </row>
    <row r="73" ht="15.75" customHeight="1">
      <c r="A73" s="1" t="s">
        <v>78</v>
      </c>
    </row>
    <row r="74" ht="15.75" customHeight="1">
      <c r="A74" s="1" t="s">
        <v>79</v>
      </c>
    </row>
    <row r="75" ht="15.75" customHeight="1">
      <c r="A75" s="1" t="s">
        <v>80</v>
      </c>
    </row>
    <row r="76" ht="15.75" customHeight="1">
      <c r="A76" s="1" t="s">
        <v>81</v>
      </c>
    </row>
    <row r="77" ht="15.75" customHeight="1">
      <c r="A77" s="1" t="s">
        <v>82</v>
      </c>
    </row>
    <row r="78" ht="15.75" customHeight="1">
      <c r="A78" s="1" t="s">
        <v>83</v>
      </c>
    </row>
    <row r="79" ht="15.75" customHeight="1">
      <c r="A79" s="1" t="s">
        <v>84</v>
      </c>
    </row>
    <row r="80" ht="15.75" customHeight="1">
      <c r="A80" s="1" t="s">
        <v>85</v>
      </c>
    </row>
    <row r="81" ht="15.75" customHeight="1">
      <c r="A81" s="1" t="s">
        <v>86</v>
      </c>
    </row>
    <row r="82" ht="15.75" customHeight="1">
      <c r="A82" s="1" t="s">
        <v>87</v>
      </c>
    </row>
    <row r="83" ht="15.75" customHeight="1">
      <c r="A83" s="1" t="s">
        <v>88</v>
      </c>
    </row>
    <row r="84" ht="15.75" customHeight="1">
      <c r="A84" s="1" t="s">
        <v>89</v>
      </c>
    </row>
    <row r="85" ht="15.75" customHeight="1">
      <c r="A85" s="1" t="s">
        <v>90</v>
      </c>
    </row>
    <row r="86" ht="15.75" customHeight="1">
      <c r="A86" s="1" t="s">
        <v>91</v>
      </c>
    </row>
    <row r="87" ht="15.75" customHeight="1">
      <c r="A87" s="1" t="s">
        <v>92</v>
      </c>
    </row>
    <row r="88" ht="15.75" customHeight="1">
      <c r="A88" s="1" t="s">
        <v>93</v>
      </c>
    </row>
    <row r="89" ht="15.75" customHeight="1">
      <c r="A89" s="1" t="s">
        <v>94</v>
      </c>
    </row>
    <row r="90" ht="15.75" customHeight="1">
      <c r="A90" s="1" t="s">
        <v>95</v>
      </c>
    </row>
    <row r="91" ht="15.75" customHeight="1">
      <c r="A91" s="1" t="s">
        <v>96</v>
      </c>
    </row>
    <row r="92" ht="15.75" customHeight="1">
      <c r="A92" s="1" t="s">
        <v>97</v>
      </c>
    </row>
    <row r="93" ht="15.75" customHeight="1">
      <c r="A93" s="1" t="s">
        <v>98</v>
      </c>
    </row>
    <row r="94" ht="15.75" customHeight="1">
      <c r="A94" s="1" t="s">
        <v>99</v>
      </c>
    </row>
    <row r="95" ht="15.75" customHeight="1">
      <c r="A95" s="1" t="s">
        <v>100</v>
      </c>
    </row>
    <row r="96" ht="15.75" customHeight="1">
      <c r="A96" s="1" t="s">
        <v>101</v>
      </c>
    </row>
    <row r="97" ht="15.75" customHeight="1">
      <c r="A97" s="1" t="s">
        <v>102</v>
      </c>
    </row>
    <row r="98" ht="15.75" customHeight="1">
      <c r="A98" s="1" t="s">
        <v>103</v>
      </c>
    </row>
    <row r="99" ht="15.75" customHeight="1">
      <c r="A99" s="1" t="s">
        <v>104</v>
      </c>
    </row>
    <row r="100" ht="15.75" customHeight="1">
      <c r="A100" s="1" t="s">
        <v>105</v>
      </c>
    </row>
    <row r="101" ht="15.75" customHeight="1">
      <c r="A101" s="1" t="s">
        <v>106</v>
      </c>
    </row>
    <row r="102" ht="15.75" customHeight="1">
      <c r="A102" s="1" t="s">
        <v>107</v>
      </c>
    </row>
    <row r="103" ht="15.75" customHeight="1">
      <c r="A103" s="1" t="s">
        <v>108</v>
      </c>
    </row>
    <row r="104" ht="15.75" customHeight="1">
      <c r="A104" s="1" t="s">
        <v>109</v>
      </c>
    </row>
    <row r="105" ht="15.75" customHeight="1">
      <c r="A105" s="1" t="s">
        <v>110</v>
      </c>
    </row>
    <row r="106" ht="15.75" customHeight="1">
      <c r="A106" s="1" t="s">
        <v>111</v>
      </c>
    </row>
    <row r="107" ht="15.75" customHeight="1">
      <c r="A107" s="1" t="s">
        <v>112</v>
      </c>
    </row>
    <row r="108" ht="15.75" customHeight="1">
      <c r="A108" s="1" t="s">
        <v>113</v>
      </c>
    </row>
    <row r="109" ht="15.75" customHeight="1">
      <c r="A109" s="1" t="s">
        <v>114</v>
      </c>
    </row>
    <row r="110" ht="15.75" customHeight="1">
      <c r="A110" s="1" t="s">
        <v>115</v>
      </c>
    </row>
    <row r="111" ht="15.75" customHeight="1">
      <c r="A111" s="1" t="s">
        <v>116</v>
      </c>
    </row>
    <row r="112" ht="15.75" customHeight="1">
      <c r="A112" s="1" t="s">
        <v>117</v>
      </c>
    </row>
    <row r="113" ht="15.75" customHeight="1">
      <c r="A113" s="1" t="s">
        <v>118</v>
      </c>
    </row>
    <row r="114" ht="15.75" customHeight="1">
      <c r="A114" s="1" t="s">
        <v>119</v>
      </c>
    </row>
    <row r="115" ht="15.75" customHeight="1">
      <c r="A115" s="1" t="s">
        <v>120</v>
      </c>
    </row>
    <row r="116" ht="15.75" customHeight="1">
      <c r="A116" s="1" t="s">
        <v>121</v>
      </c>
    </row>
    <row r="117" ht="15.75" customHeight="1">
      <c r="A117" s="1" t="s">
        <v>122</v>
      </c>
    </row>
    <row r="118" ht="15.75" customHeight="1">
      <c r="A118" s="1" t="s">
        <v>123</v>
      </c>
    </row>
    <row r="119" ht="15.75" customHeight="1">
      <c r="A119" s="1" t="s">
        <v>124</v>
      </c>
    </row>
    <row r="120" ht="15.75" customHeight="1">
      <c r="A120" s="1" t="s">
        <v>125</v>
      </c>
    </row>
    <row r="121" ht="15.75" customHeight="1">
      <c r="A121" s="1" t="s">
        <v>126</v>
      </c>
    </row>
    <row r="122" ht="15.75" customHeight="1">
      <c r="A122" s="1" t="s">
        <v>127</v>
      </c>
    </row>
    <row r="123" ht="15.75" customHeight="1">
      <c r="A123" s="1" t="s">
        <v>128</v>
      </c>
    </row>
    <row r="124" ht="15.75" customHeight="1">
      <c r="A124" s="1" t="s">
        <v>129</v>
      </c>
    </row>
    <row r="125" ht="15.75" customHeight="1">
      <c r="A125" s="1" t="s">
        <v>130</v>
      </c>
    </row>
    <row r="126" ht="15.75" customHeight="1">
      <c r="A126" s="1" t="s">
        <v>131</v>
      </c>
    </row>
    <row r="127" ht="15.75" customHeight="1">
      <c r="A127" s="1" t="s">
        <v>132</v>
      </c>
    </row>
    <row r="128" ht="15.75" customHeight="1">
      <c r="A128" s="1" t="s">
        <v>133</v>
      </c>
    </row>
    <row r="129" ht="15.75" customHeight="1">
      <c r="A129" s="1" t="s">
        <v>134</v>
      </c>
    </row>
    <row r="130" ht="15.75" customHeight="1">
      <c r="A130" s="1" t="s">
        <v>135</v>
      </c>
    </row>
    <row r="131" ht="15.75" customHeight="1">
      <c r="A131" s="1" t="s">
        <v>136</v>
      </c>
    </row>
    <row r="132" ht="15.75" customHeight="1">
      <c r="A132" s="1" t="s">
        <v>137</v>
      </c>
    </row>
    <row r="133" ht="15.75" customHeight="1">
      <c r="A133" s="1" t="s">
        <v>138</v>
      </c>
    </row>
    <row r="134" ht="15.75" customHeight="1">
      <c r="A134" s="1" t="s">
        <v>139</v>
      </c>
    </row>
    <row r="135" ht="15.75" customHeight="1">
      <c r="A135" s="1" t="s">
        <v>140</v>
      </c>
    </row>
    <row r="136" ht="15.75" customHeight="1">
      <c r="A136" s="1" t="s">
        <v>141</v>
      </c>
    </row>
    <row r="137" ht="15.75" customHeight="1">
      <c r="A137" s="1" t="s">
        <v>142</v>
      </c>
    </row>
    <row r="138" ht="15.75" customHeight="1">
      <c r="A138" s="1" t="s">
        <v>143</v>
      </c>
    </row>
    <row r="139" ht="15.75" customHeight="1">
      <c r="A139" s="1" t="s">
        <v>144</v>
      </c>
    </row>
    <row r="140" ht="15.75" customHeight="1">
      <c r="A140" s="1" t="s">
        <v>145</v>
      </c>
    </row>
    <row r="141" ht="15.75" customHeight="1">
      <c r="A141" s="1" t="s">
        <v>146</v>
      </c>
    </row>
    <row r="142" ht="15.75" customHeight="1">
      <c r="A142" s="1" t="s">
        <v>147</v>
      </c>
    </row>
    <row r="143" ht="15.75" customHeight="1">
      <c r="A143" s="1" t="s">
        <v>148</v>
      </c>
    </row>
    <row r="144" ht="15.75" customHeight="1">
      <c r="A144" s="1" t="s">
        <v>149</v>
      </c>
    </row>
    <row r="145" ht="15.75" customHeight="1">
      <c r="A145" s="1" t="s">
        <v>150</v>
      </c>
    </row>
    <row r="146" ht="15.75" customHeight="1">
      <c r="A146" s="1" t="s">
        <v>151</v>
      </c>
    </row>
    <row r="147" ht="15.75" customHeight="1">
      <c r="A147" s="1" t="s">
        <v>152</v>
      </c>
    </row>
    <row r="148" ht="15.75" customHeight="1">
      <c r="A148" s="1" t="s">
        <v>153</v>
      </c>
    </row>
    <row r="149" ht="15.75" customHeight="1">
      <c r="A149" s="1" t="s">
        <v>154</v>
      </c>
    </row>
    <row r="150" ht="15.75" customHeight="1">
      <c r="A150" s="1" t="s">
        <v>155</v>
      </c>
    </row>
    <row r="151" ht="15.75" customHeight="1">
      <c r="A151" s="1" t="s">
        <v>156</v>
      </c>
    </row>
    <row r="152" ht="15.75" customHeight="1">
      <c r="A152" s="1" t="s">
        <v>157</v>
      </c>
    </row>
    <row r="153" ht="15.75" customHeight="1">
      <c r="A153" s="1" t="s">
        <v>158</v>
      </c>
    </row>
    <row r="154" ht="15.75" customHeight="1">
      <c r="A154" s="1" t="s">
        <v>159</v>
      </c>
    </row>
    <row r="155" ht="15.75" customHeight="1">
      <c r="A155" s="1" t="s">
        <v>160</v>
      </c>
    </row>
    <row r="156" ht="15.75" customHeight="1">
      <c r="A156" s="1" t="s">
        <v>161</v>
      </c>
    </row>
    <row r="157" ht="15.75" customHeight="1">
      <c r="A157" s="1" t="s">
        <v>162</v>
      </c>
    </row>
    <row r="158" ht="15.75" customHeight="1">
      <c r="A158" s="1" t="s">
        <v>163</v>
      </c>
    </row>
    <row r="159" ht="15.75" customHeight="1">
      <c r="A159" s="1" t="s">
        <v>164</v>
      </c>
    </row>
    <row r="160" ht="15.75" customHeight="1">
      <c r="A160" s="1" t="s">
        <v>165</v>
      </c>
    </row>
    <row r="161" ht="15.75" customHeight="1">
      <c r="A161" s="1" t="s">
        <v>166</v>
      </c>
    </row>
    <row r="162" ht="15.75" customHeight="1">
      <c r="A162" s="1" t="s">
        <v>167</v>
      </c>
    </row>
    <row r="163" ht="15.75" customHeight="1">
      <c r="A163" s="1" t="s">
        <v>168</v>
      </c>
    </row>
    <row r="164" ht="15.75" customHeight="1">
      <c r="A164" s="1" t="s">
        <v>169</v>
      </c>
    </row>
    <row r="165" ht="15.75" customHeight="1">
      <c r="A165" s="1" t="s">
        <v>170</v>
      </c>
    </row>
    <row r="166" ht="15.75" customHeight="1">
      <c r="A166" s="1" t="s">
        <v>171</v>
      </c>
    </row>
    <row r="167" ht="15.75" customHeight="1">
      <c r="A167" s="1" t="s">
        <v>172</v>
      </c>
    </row>
    <row r="168" ht="15.75" customHeight="1">
      <c r="A168" s="1" t="s">
        <v>173</v>
      </c>
    </row>
    <row r="169" ht="15.75" customHeight="1">
      <c r="A169" s="1" t="s">
        <v>174</v>
      </c>
    </row>
    <row r="170" ht="15.75" customHeight="1">
      <c r="A170" s="1" t="s">
        <v>175</v>
      </c>
    </row>
    <row r="171" ht="15.75" customHeight="1">
      <c r="A171" s="1" t="s">
        <v>176</v>
      </c>
    </row>
    <row r="172" ht="15.75" customHeight="1">
      <c r="A172" s="1" t="s">
        <v>177</v>
      </c>
    </row>
    <row r="173" ht="15.75" customHeight="1">
      <c r="A173" s="1" t="s">
        <v>178</v>
      </c>
    </row>
    <row r="174" ht="15.75" customHeight="1">
      <c r="A174" s="1" t="s">
        <v>179</v>
      </c>
    </row>
    <row r="175" ht="15.75" customHeight="1">
      <c r="A175" s="1" t="s">
        <v>180</v>
      </c>
    </row>
    <row r="176" ht="15.75" customHeight="1">
      <c r="A176" s="1" t="s">
        <v>181</v>
      </c>
    </row>
    <row r="177" ht="15.75" customHeight="1">
      <c r="A177" s="1" t="s">
        <v>182</v>
      </c>
    </row>
    <row r="178" ht="15.75" customHeight="1">
      <c r="A178" s="1" t="s">
        <v>183</v>
      </c>
    </row>
    <row r="179" ht="15.75" customHeight="1">
      <c r="A179" s="1" t="s">
        <v>184</v>
      </c>
    </row>
    <row r="180" ht="15.75" customHeight="1">
      <c r="A180" s="1" t="s">
        <v>185</v>
      </c>
    </row>
    <row r="181" ht="15.75" customHeight="1">
      <c r="A181" s="1" t="s">
        <v>186</v>
      </c>
    </row>
    <row r="182" ht="15.75" customHeight="1">
      <c r="A182" s="1" t="s">
        <v>187</v>
      </c>
    </row>
    <row r="183" ht="15.75" customHeight="1">
      <c r="A183" s="1" t="s">
        <v>188</v>
      </c>
    </row>
    <row r="184" ht="15.75" customHeight="1">
      <c r="A184" s="1" t="s">
        <v>189</v>
      </c>
    </row>
    <row r="185" ht="15.75" customHeight="1">
      <c r="A185" s="1" t="s">
        <v>190</v>
      </c>
    </row>
    <row r="186" ht="15.75" customHeight="1">
      <c r="A186" s="1" t="s">
        <v>191</v>
      </c>
    </row>
    <row r="187" ht="15.75" customHeight="1">
      <c r="A187" s="1" t="s">
        <v>192</v>
      </c>
    </row>
    <row r="188" ht="15.75" customHeight="1">
      <c r="A188" s="1" t="s">
        <v>193</v>
      </c>
    </row>
    <row r="189" ht="15.75" customHeight="1">
      <c r="A189" s="1" t="s">
        <v>194</v>
      </c>
    </row>
    <row r="190" ht="15.75" customHeight="1">
      <c r="A190" s="1" t="s">
        <v>195</v>
      </c>
    </row>
    <row r="191" ht="15.75" customHeight="1">
      <c r="A191" s="1" t="s">
        <v>196</v>
      </c>
    </row>
    <row r="192" ht="15.75" customHeight="1">
      <c r="A192" s="1" t="s">
        <v>197</v>
      </c>
    </row>
    <row r="193" ht="15.75" customHeight="1">
      <c r="A193" s="1" t="s">
        <v>198</v>
      </c>
    </row>
    <row r="194" ht="15.75" customHeight="1">
      <c r="A194" s="1" t="s">
        <v>199</v>
      </c>
    </row>
    <row r="195" ht="15.75" customHeight="1">
      <c r="A195" s="1" t="s">
        <v>200</v>
      </c>
    </row>
    <row r="196" ht="15.75" customHeight="1">
      <c r="A196" s="1" t="s">
        <v>201</v>
      </c>
    </row>
    <row r="197" ht="15.75" customHeight="1">
      <c r="A197" s="1" t="s">
        <v>202</v>
      </c>
    </row>
    <row r="198" ht="15.75" customHeight="1">
      <c r="A198" s="1" t="s">
        <v>203</v>
      </c>
    </row>
    <row r="199" ht="15.75" customHeight="1">
      <c r="A199" s="1" t="s">
        <v>204</v>
      </c>
    </row>
    <row r="200" ht="15.75" customHeight="1">
      <c r="A200" s="1" t="s">
        <v>205</v>
      </c>
    </row>
    <row r="201" ht="15.75" customHeight="1">
      <c r="A201" s="1" t="s">
        <v>206</v>
      </c>
    </row>
    <row r="202" ht="15.75" customHeight="1">
      <c r="A202" s="1" t="s">
        <v>207</v>
      </c>
    </row>
    <row r="203" ht="15.75" customHeight="1">
      <c r="A203" s="1" t="s">
        <v>208</v>
      </c>
    </row>
    <row r="204" ht="15.75" customHeight="1">
      <c r="A204" s="1" t="s">
        <v>209</v>
      </c>
    </row>
    <row r="205" ht="15.75" customHeight="1">
      <c r="A205" s="1" t="s">
        <v>210</v>
      </c>
    </row>
    <row r="206" ht="15.75" customHeight="1">
      <c r="A206" s="1" t="s">
        <v>211</v>
      </c>
    </row>
    <row r="207" ht="15.75" customHeight="1">
      <c r="A207" s="1" t="s">
        <v>212</v>
      </c>
    </row>
    <row r="208" ht="15.75" customHeight="1">
      <c r="A208" s="1" t="s">
        <v>213</v>
      </c>
    </row>
    <row r="209" ht="15.75" customHeight="1">
      <c r="A209" s="1" t="s">
        <v>214</v>
      </c>
    </row>
    <row r="210" ht="15.75" customHeight="1">
      <c r="A210" s="1" t="s">
        <v>215</v>
      </c>
    </row>
    <row r="211" ht="15.75" customHeight="1">
      <c r="A211" s="1" t="s">
        <v>216</v>
      </c>
    </row>
    <row r="212" ht="15.75" customHeight="1">
      <c r="A212" s="1" t="s">
        <v>217</v>
      </c>
    </row>
    <row r="213" ht="15.75" customHeight="1">
      <c r="A213" s="1" t="s">
        <v>218</v>
      </c>
    </row>
    <row r="214" ht="15.75" customHeight="1">
      <c r="A214" s="1" t="s">
        <v>219</v>
      </c>
    </row>
    <row r="215" ht="15.75" customHeight="1">
      <c r="A215" s="1" t="s">
        <v>220</v>
      </c>
    </row>
    <row r="216" ht="15.75" customHeight="1">
      <c r="A216" s="1" t="s">
        <v>221</v>
      </c>
    </row>
    <row r="217" ht="15.75" customHeight="1">
      <c r="A217" s="1" t="s">
        <v>222</v>
      </c>
    </row>
    <row r="218" ht="15.75" customHeight="1">
      <c r="A218" s="1" t="s">
        <v>223</v>
      </c>
    </row>
    <row r="219" ht="15.75" customHeight="1">
      <c r="A219" s="1" t="s">
        <v>224</v>
      </c>
    </row>
    <row r="220" ht="15.75" customHeight="1">
      <c r="A220" s="1" t="s">
        <v>225</v>
      </c>
    </row>
    <row r="221" ht="15.75" customHeight="1">
      <c r="A221" s="1" t="s">
        <v>226</v>
      </c>
    </row>
    <row r="222" ht="15.75" customHeight="1">
      <c r="A222" s="1" t="s">
        <v>227</v>
      </c>
    </row>
    <row r="223" ht="15.75" customHeight="1">
      <c r="A223" s="1" t="s">
        <v>228</v>
      </c>
    </row>
    <row r="224" ht="15.75" customHeight="1">
      <c r="A224" s="1" t="s">
        <v>229</v>
      </c>
    </row>
    <row r="225" ht="15.75" customHeight="1">
      <c r="A225" s="1" t="s">
        <v>230</v>
      </c>
    </row>
    <row r="226" ht="15.75" customHeight="1">
      <c r="A226" s="1" t="s">
        <v>231</v>
      </c>
    </row>
    <row r="227" ht="15.75" customHeight="1">
      <c r="A227" s="1" t="s">
        <v>232</v>
      </c>
    </row>
    <row r="228" ht="15.75" customHeight="1">
      <c r="A228" s="1" t="s">
        <v>233</v>
      </c>
    </row>
    <row r="229" ht="15.75" customHeight="1">
      <c r="A229" s="1" t="s">
        <v>234</v>
      </c>
    </row>
    <row r="230" ht="15.75" customHeight="1">
      <c r="A230" s="1" t="s">
        <v>235</v>
      </c>
    </row>
    <row r="231" ht="15.75" customHeight="1">
      <c r="A231" s="1" t="s">
        <v>236</v>
      </c>
    </row>
    <row r="232" ht="15.75" customHeight="1">
      <c r="A232" s="1" t="s">
        <v>237</v>
      </c>
    </row>
    <row r="233" ht="15.75" customHeight="1">
      <c r="A233" s="1" t="s">
        <v>238</v>
      </c>
    </row>
    <row r="234" ht="15.75" customHeight="1">
      <c r="A234" s="1" t="s">
        <v>239</v>
      </c>
    </row>
    <row r="235" ht="15.75" customHeight="1">
      <c r="A235" s="1" t="s">
        <v>240</v>
      </c>
    </row>
    <row r="236" ht="15.75" customHeight="1">
      <c r="A236" s="1" t="s">
        <v>241</v>
      </c>
    </row>
    <row r="237" ht="15.75" customHeight="1">
      <c r="A237" s="1" t="s">
        <v>242</v>
      </c>
    </row>
    <row r="238" ht="15.75" customHeight="1">
      <c r="A238" s="1" t="s">
        <v>243</v>
      </c>
    </row>
    <row r="239" ht="15.75" customHeight="1">
      <c r="A239" s="1" t="s">
        <v>244</v>
      </c>
    </row>
    <row r="240" ht="15.75" customHeight="1">
      <c r="A240" s="1" t="s">
        <v>245</v>
      </c>
    </row>
    <row r="241" ht="15.75" customHeight="1">
      <c r="A241" s="1" t="s">
        <v>246</v>
      </c>
    </row>
    <row r="242" ht="15.75" customHeight="1">
      <c r="A242" s="1" t="s">
        <v>247</v>
      </c>
    </row>
    <row r="243" ht="15.75" customHeight="1">
      <c r="A243" s="1" t="s">
        <v>248</v>
      </c>
    </row>
    <row r="244" ht="15.75" customHeight="1">
      <c r="A244" s="1" t="s">
        <v>249</v>
      </c>
    </row>
    <row r="245" ht="15.75" customHeight="1">
      <c r="A245" s="1" t="s">
        <v>250</v>
      </c>
    </row>
    <row r="246" ht="15.75" customHeight="1">
      <c r="A246" s="1" t="s">
        <v>251</v>
      </c>
    </row>
    <row r="247" ht="15.75" customHeight="1">
      <c r="A247" s="1" t="s">
        <v>252</v>
      </c>
    </row>
    <row r="248" ht="15.75" customHeight="1">
      <c r="A248" s="1" t="s">
        <v>253</v>
      </c>
    </row>
    <row r="249" ht="15.75" customHeight="1">
      <c r="A249" s="1" t="s">
        <v>254</v>
      </c>
    </row>
    <row r="250" ht="15.75" customHeight="1">
      <c r="A250" s="1" t="s">
        <v>255</v>
      </c>
    </row>
    <row r="251" ht="15.75" customHeight="1">
      <c r="A251" s="1" t="s">
        <v>256</v>
      </c>
    </row>
    <row r="252" ht="15.75" customHeight="1">
      <c r="A252" s="1" t="s">
        <v>257</v>
      </c>
    </row>
    <row r="253" ht="15.75" customHeight="1">
      <c r="A253" s="1" t="s">
        <v>258</v>
      </c>
    </row>
    <row r="254" ht="15.75" customHeight="1">
      <c r="A254" s="1" t="s">
        <v>259</v>
      </c>
    </row>
    <row r="255" ht="15.75" customHeight="1">
      <c r="A255" s="1" t="s">
        <v>260</v>
      </c>
    </row>
    <row r="256" ht="15.75" customHeight="1">
      <c r="A256" s="1" t="s">
        <v>261</v>
      </c>
    </row>
    <row r="257" ht="15.75" customHeight="1">
      <c r="A257" s="1" t="s">
        <v>262</v>
      </c>
    </row>
    <row r="258" ht="15.75" customHeight="1">
      <c r="A258" s="1" t="s">
        <v>263</v>
      </c>
    </row>
    <row r="259" ht="15.75" customHeight="1">
      <c r="A259" s="1" t="s">
        <v>264</v>
      </c>
    </row>
    <row r="260" ht="15.75" customHeight="1">
      <c r="A260" s="1" t="s">
        <v>265</v>
      </c>
    </row>
    <row r="261" ht="15.75" customHeight="1">
      <c r="A261" s="1" t="s">
        <v>266</v>
      </c>
    </row>
    <row r="262" ht="15.75" customHeight="1">
      <c r="A262" s="1" t="s">
        <v>267</v>
      </c>
    </row>
    <row r="263" ht="15.75" customHeight="1">
      <c r="A263" s="1" t="s">
        <v>268</v>
      </c>
    </row>
    <row r="264" ht="15.75" customHeight="1">
      <c r="A264" s="1" t="s">
        <v>269</v>
      </c>
    </row>
    <row r="265" ht="15.75" customHeight="1">
      <c r="A265" s="1" t="s">
        <v>270</v>
      </c>
    </row>
    <row r="266" ht="15.75" customHeight="1">
      <c r="A266" s="1" t="s">
        <v>271</v>
      </c>
    </row>
    <row r="267" ht="15.75" customHeight="1">
      <c r="A267" s="1" t="s">
        <v>272</v>
      </c>
    </row>
    <row r="268" ht="15.75" customHeight="1">
      <c r="A268" s="1" t="s">
        <v>273</v>
      </c>
    </row>
    <row r="269" ht="15.75" customHeight="1">
      <c r="A269" s="1" t="s">
        <v>274</v>
      </c>
    </row>
    <row r="270" ht="15.75" customHeight="1">
      <c r="A270" s="1" t="s">
        <v>275</v>
      </c>
    </row>
    <row r="271" ht="15.75" customHeight="1">
      <c r="A271" s="1" t="s">
        <v>276</v>
      </c>
    </row>
    <row r="272" ht="15.75" customHeight="1">
      <c r="A272" s="1" t="s">
        <v>277</v>
      </c>
    </row>
    <row r="273" ht="15.75" customHeight="1">
      <c r="A273" s="1" t="s">
        <v>278</v>
      </c>
    </row>
    <row r="274" ht="15.75" customHeight="1">
      <c r="A274" s="1" t="s">
        <v>279</v>
      </c>
    </row>
    <row r="275" ht="15.75" customHeight="1">
      <c r="A275" s="1" t="s">
        <v>280</v>
      </c>
    </row>
    <row r="276" ht="15.75" customHeight="1">
      <c r="A276" s="1" t="s">
        <v>281</v>
      </c>
    </row>
    <row r="277" ht="15.75" customHeight="1">
      <c r="A277" s="1" t="s">
        <v>282</v>
      </c>
    </row>
    <row r="278" ht="15.75" customHeight="1">
      <c r="A278" s="1" t="s">
        <v>283</v>
      </c>
    </row>
    <row r="279" ht="15.75" customHeight="1">
      <c r="A279" s="1" t="s">
        <v>284</v>
      </c>
    </row>
    <row r="280" ht="15.75" customHeight="1">
      <c r="A280" s="1" t="s">
        <v>285</v>
      </c>
    </row>
    <row r="281" ht="15.75" customHeight="1">
      <c r="A281" s="1" t="s">
        <v>286</v>
      </c>
    </row>
    <row r="282" ht="15.75" customHeight="1">
      <c r="A282" s="1" t="s">
        <v>287</v>
      </c>
    </row>
    <row r="283" ht="15.75" customHeight="1">
      <c r="A283" s="1" t="s">
        <v>288</v>
      </c>
    </row>
    <row r="284" ht="15.75" customHeight="1">
      <c r="A284" s="1" t="s">
        <v>289</v>
      </c>
    </row>
    <row r="285" ht="15.75" customHeight="1">
      <c r="A285" s="1" t="s">
        <v>290</v>
      </c>
    </row>
    <row r="286" ht="15.75" customHeight="1">
      <c r="A286" s="1" t="s">
        <v>291</v>
      </c>
    </row>
    <row r="287" ht="15.75" customHeight="1">
      <c r="A287" s="1" t="s">
        <v>292</v>
      </c>
    </row>
    <row r="288" ht="15.75" customHeight="1">
      <c r="A288" s="1" t="s">
        <v>293</v>
      </c>
    </row>
    <row r="289" ht="15.75" customHeight="1">
      <c r="A289" s="1" t="s">
        <v>294</v>
      </c>
    </row>
    <row r="290" ht="15.75" customHeight="1">
      <c r="A290" s="1" t="s">
        <v>295</v>
      </c>
    </row>
    <row r="291" ht="15.75" customHeight="1">
      <c r="A291" s="1" t="s">
        <v>296</v>
      </c>
    </row>
    <row r="292" ht="15.75" customHeight="1">
      <c r="A292" s="1" t="s">
        <v>297</v>
      </c>
    </row>
    <row r="293" ht="15.75" customHeight="1">
      <c r="A293" s="1" t="s">
        <v>298</v>
      </c>
    </row>
    <row r="294" ht="15.75" customHeight="1">
      <c r="A294" s="1" t="s">
        <v>299</v>
      </c>
    </row>
    <row r="295" ht="15.75" customHeight="1">
      <c r="A295" s="1" t="s">
        <v>300</v>
      </c>
    </row>
    <row r="296" ht="15.75" customHeight="1">
      <c r="A296" s="1" t="s">
        <v>301</v>
      </c>
    </row>
    <row r="297" ht="15.75" customHeight="1">
      <c r="A297" s="1" t="s">
        <v>302</v>
      </c>
    </row>
    <row r="298" ht="15.75" customHeight="1">
      <c r="A298" s="1" t="s">
        <v>303</v>
      </c>
    </row>
    <row r="299" ht="15.75" customHeight="1">
      <c r="A299" s="1" t="s">
        <v>304</v>
      </c>
    </row>
    <row r="300" ht="15.75" customHeight="1">
      <c r="A300" s="1" t="s">
        <v>305</v>
      </c>
    </row>
    <row r="301" ht="15.75" customHeight="1">
      <c r="A301" s="1" t="s">
        <v>306</v>
      </c>
    </row>
    <row r="302" ht="15.75" customHeight="1">
      <c r="A302" s="1" t="s">
        <v>307</v>
      </c>
    </row>
    <row r="303" ht="15.75" customHeight="1">
      <c r="A303" s="1" t="s">
        <v>308</v>
      </c>
    </row>
    <row r="304" ht="15.75" customHeight="1">
      <c r="A304" s="1" t="s">
        <v>309</v>
      </c>
    </row>
    <row r="305" ht="15.75" customHeight="1">
      <c r="A305" s="1" t="s">
        <v>310</v>
      </c>
    </row>
    <row r="306" ht="15.75" customHeight="1">
      <c r="A306" s="1" t="s">
        <v>311</v>
      </c>
    </row>
    <row r="307" ht="15.75" customHeight="1">
      <c r="A307" s="1" t="s">
        <v>312</v>
      </c>
    </row>
    <row r="308" ht="15.75" customHeight="1">
      <c r="A308" s="1" t="s">
        <v>313</v>
      </c>
    </row>
    <row r="309" ht="15.75" customHeight="1">
      <c r="A309" s="1" t="s">
        <v>314</v>
      </c>
    </row>
    <row r="310" ht="15.75" customHeight="1">
      <c r="A310" s="1" t="s">
        <v>315</v>
      </c>
    </row>
    <row r="311" ht="15.75" customHeight="1">
      <c r="A311" s="1" t="s">
        <v>316</v>
      </c>
    </row>
    <row r="312" ht="15.75" customHeight="1">
      <c r="A312" s="1" t="s">
        <v>317</v>
      </c>
    </row>
    <row r="313" ht="15.75" customHeight="1">
      <c r="A313" s="1" t="s">
        <v>318</v>
      </c>
    </row>
    <row r="314" ht="15.75" customHeight="1">
      <c r="A314" s="1" t="s">
        <v>319</v>
      </c>
    </row>
    <row r="315" ht="15.75" customHeight="1">
      <c r="A315" s="1" t="s">
        <v>320</v>
      </c>
    </row>
    <row r="316" ht="15.75" customHeight="1">
      <c r="A316" s="1" t="s">
        <v>321</v>
      </c>
    </row>
    <row r="317" ht="15.75" customHeight="1">
      <c r="A317" s="1" t="s">
        <v>322</v>
      </c>
    </row>
    <row r="318" ht="15.75" customHeight="1">
      <c r="A318" s="1" t="s">
        <v>323</v>
      </c>
    </row>
    <row r="319" ht="15.75" customHeight="1">
      <c r="A319" s="1" t="s">
        <v>324</v>
      </c>
    </row>
    <row r="320" ht="15.75" customHeight="1">
      <c r="A320" s="1" t="s">
        <v>325</v>
      </c>
    </row>
    <row r="321" ht="15.75" customHeight="1">
      <c r="A321" s="1" t="s">
        <v>326</v>
      </c>
    </row>
    <row r="322" ht="15.75" customHeight="1">
      <c r="A322" s="1" t="s">
        <v>327</v>
      </c>
    </row>
    <row r="323" ht="15.75" customHeight="1">
      <c r="A323" s="1" t="s">
        <v>328</v>
      </c>
    </row>
    <row r="324" ht="15.75" customHeight="1">
      <c r="A324" s="1" t="s">
        <v>329</v>
      </c>
    </row>
    <row r="325" ht="15.75" customHeight="1">
      <c r="A325" s="1" t="s">
        <v>330</v>
      </c>
    </row>
    <row r="326" ht="15.75" customHeight="1">
      <c r="A326" s="1" t="s">
        <v>331</v>
      </c>
    </row>
    <row r="327" ht="15.75" customHeight="1">
      <c r="A327" s="1" t="s">
        <v>332</v>
      </c>
    </row>
    <row r="328" ht="15.75" customHeight="1">
      <c r="A328" s="1" t="s">
        <v>333</v>
      </c>
    </row>
    <row r="329" ht="15.75" customHeight="1">
      <c r="A329" s="1" t="s">
        <v>334</v>
      </c>
    </row>
    <row r="330" ht="15.75" customHeight="1">
      <c r="A330" s="1" t="s">
        <v>335</v>
      </c>
    </row>
    <row r="331" ht="15.75" customHeight="1">
      <c r="A331" s="1" t="s">
        <v>336</v>
      </c>
    </row>
    <row r="332" ht="15.75" customHeight="1">
      <c r="A332" s="1" t="s">
        <v>337</v>
      </c>
    </row>
    <row r="333" ht="15.75" customHeight="1">
      <c r="A333" s="1" t="s">
        <v>338</v>
      </c>
    </row>
    <row r="334" ht="15.75" customHeight="1">
      <c r="A334" s="1" t="s">
        <v>339</v>
      </c>
    </row>
    <row r="335" ht="15.75" customHeight="1">
      <c r="A335" s="1" t="s">
        <v>340</v>
      </c>
    </row>
    <row r="336" ht="15.75" customHeight="1">
      <c r="A336" s="1" t="s">
        <v>341</v>
      </c>
    </row>
    <row r="337" ht="15.75" customHeight="1">
      <c r="A337" s="1" t="s">
        <v>342</v>
      </c>
    </row>
    <row r="338" ht="15.75" customHeight="1">
      <c r="A338" s="1" t="s">
        <v>343</v>
      </c>
    </row>
    <row r="339" ht="15.75" customHeight="1">
      <c r="A339" s="1" t="s">
        <v>344</v>
      </c>
    </row>
    <row r="340" ht="15.75" customHeight="1">
      <c r="A340" s="1" t="s">
        <v>345</v>
      </c>
    </row>
    <row r="341" ht="15.75" customHeight="1">
      <c r="A341" s="1" t="s">
        <v>346</v>
      </c>
    </row>
    <row r="342" ht="15.75" customHeight="1">
      <c r="A342" s="1" t="s">
        <v>347</v>
      </c>
    </row>
    <row r="343" ht="15.75" customHeight="1">
      <c r="A343" s="1" t="s">
        <v>348</v>
      </c>
    </row>
    <row r="344" ht="15.75" customHeight="1">
      <c r="A344" s="1" t="s">
        <v>349</v>
      </c>
    </row>
    <row r="345" ht="15.75" customHeight="1">
      <c r="A345" s="1" t="s">
        <v>350</v>
      </c>
    </row>
    <row r="346" ht="15.75" customHeight="1">
      <c r="A346" s="1" t="s">
        <v>351</v>
      </c>
    </row>
    <row r="347" ht="15.75" customHeight="1">
      <c r="A347" s="1" t="s">
        <v>352</v>
      </c>
    </row>
    <row r="348" ht="15.75" customHeight="1">
      <c r="A348" s="1" t="s">
        <v>353</v>
      </c>
    </row>
    <row r="349" ht="15.75" customHeight="1">
      <c r="A349" s="1" t="s">
        <v>354</v>
      </c>
    </row>
    <row r="350" ht="15.75" customHeight="1">
      <c r="A350" s="1" t="s">
        <v>355</v>
      </c>
    </row>
    <row r="351" ht="15.75" customHeight="1">
      <c r="A351" s="1" t="s">
        <v>356</v>
      </c>
    </row>
    <row r="352" ht="15.75" customHeight="1">
      <c r="A352" s="1" t="s">
        <v>357</v>
      </c>
    </row>
    <row r="353" ht="15.75" customHeight="1">
      <c r="A353" s="1" t="s">
        <v>358</v>
      </c>
    </row>
    <row r="354" ht="15.75" customHeight="1">
      <c r="A354" s="1" t="s">
        <v>359</v>
      </c>
    </row>
    <row r="355" ht="15.75" customHeight="1">
      <c r="A355" s="1" t="s">
        <v>360</v>
      </c>
    </row>
    <row r="356" ht="15.75" customHeight="1">
      <c r="A356" s="1" t="s">
        <v>361</v>
      </c>
    </row>
    <row r="357" ht="15.75" customHeight="1">
      <c r="A357" s="1" t="s">
        <v>362</v>
      </c>
    </row>
    <row r="358" ht="15.75" customHeight="1">
      <c r="A358" s="1" t="s">
        <v>363</v>
      </c>
    </row>
    <row r="359" ht="15.75" customHeight="1">
      <c r="A359" s="1" t="s">
        <v>364</v>
      </c>
    </row>
    <row r="360" ht="15.75" customHeight="1">
      <c r="A360" s="1" t="s">
        <v>365</v>
      </c>
    </row>
    <row r="361" ht="15.75" customHeight="1">
      <c r="A361" s="1" t="s">
        <v>366</v>
      </c>
    </row>
    <row r="362" ht="15.75" customHeight="1">
      <c r="A362" s="1" t="s">
        <v>367</v>
      </c>
    </row>
    <row r="363" ht="15.75" customHeight="1">
      <c r="A363" s="1" t="s">
        <v>368</v>
      </c>
    </row>
    <row r="364" ht="15.75" customHeight="1">
      <c r="A364" s="1" t="s">
        <v>369</v>
      </c>
    </row>
    <row r="365" ht="15.75" customHeight="1">
      <c r="A365" s="1" t="s">
        <v>370</v>
      </c>
    </row>
    <row r="366" ht="15.75" customHeight="1">
      <c r="A366" s="1" t="s">
        <v>371</v>
      </c>
    </row>
    <row r="367" ht="15.75" customHeight="1">
      <c r="A367" s="1" t="s">
        <v>372</v>
      </c>
    </row>
    <row r="368" ht="15.75" customHeight="1">
      <c r="A368" s="1" t="s">
        <v>373</v>
      </c>
    </row>
    <row r="369" ht="15.75" customHeight="1">
      <c r="A369" s="1" t="s">
        <v>374</v>
      </c>
    </row>
    <row r="370" ht="15.75" customHeight="1">
      <c r="A370" s="1" t="s">
        <v>375</v>
      </c>
    </row>
    <row r="371" ht="15.75" customHeight="1">
      <c r="A371" s="1" t="s">
        <v>376</v>
      </c>
    </row>
    <row r="372" ht="15.75" customHeight="1">
      <c r="A372" s="1" t="s">
        <v>377</v>
      </c>
    </row>
    <row r="373" ht="15.75" customHeight="1">
      <c r="A373" s="1" t="s">
        <v>378</v>
      </c>
    </row>
    <row r="374" ht="15.75" customHeight="1">
      <c r="A374" s="1" t="s">
        <v>379</v>
      </c>
    </row>
    <row r="375" ht="15.75" customHeight="1">
      <c r="A375" s="1" t="s">
        <v>380</v>
      </c>
    </row>
    <row r="376" ht="15.75" customHeight="1">
      <c r="A376" s="1" t="s">
        <v>381</v>
      </c>
    </row>
    <row r="377" ht="15.75" customHeight="1">
      <c r="A377" s="1" t="s">
        <v>382</v>
      </c>
    </row>
    <row r="378" ht="15.75" customHeight="1">
      <c r="A378" s="1" t="s">
        <v>383</v>
      </c>
    </row>
    <row r="379" ht="15.75" customHeight="1">
      <c r="A379" s="1" t="s">
        <v>384</v>
      </c>
    </row>
    <row r="380" ht="15.75" customHeight="1">
      <c r="A380" s="1" t="s">
        <v>385</v>
      </c>
    </row>
    <row r="381" ht="15.75" customHeight="1">
      <c r="A381" s="1" t="s">
        <v>386</v>
      </c>
    </row>
    <row r="382" ht="15.75" customHeight="1">
      <c r="A382" s="1" t="s">
        <v>387</v>
      </c>
    </row>
    <row r="383" ht="15.75" customHeight="1">
      <c r="A383" s="1" t="s">
        <v>388</v>
      </c>
    </row>
    <row r="384" ht="15.75" customHeight="1">
      <c r="A384" s="1" t="s">
        <v>389</v>
      </c>
    </row>
    <row r="385" ht="15.75" customHeight="1">
      <c r="A385" s="1" t="s">
        <v>390</v>
      </c>
    </row>
    <row r="386" ht="15.75" customHeight="1">
      <c r="A386" s="1" t="s">
        <v>391</v>
      </c>
    </row>
    <row r="387" ht="15.75" customHeight="1">
      <c r="A387" s="1" t="s">
        <v>392</v>
      </c>
    </row>
    <row r="388" ht="15.75" customHeight="1">
      <c r="A388" s="1" t="s">
        <v>393</v>
      </c>
    </row>
    <row r="389" ht="15.75" customHeight="1">
      <c r="A389" s="1" t="s">
        <v>394</v>
      </c>
    </row>
    <row r="390" ht="15.75" customHeight="1">
      <c r="A390" s="1" t="s">
        <v>395</v>
      </c>
    </row>
    <row r="391" ht="15.75" customHeight="1">
      <c r="A391" s="1" t="s">
        <v>396</v>
      </c>
    </row>
    <row r="392" ht="15.75" customHeight="1">
      <c r="A392" s="1" t="s">
        <v>397</v>
      </c>
    </row>
    <row r="393" ht="15.75" customHeight="1">
      <c r="A393" s="1" t="s">
        <v>398</v>
      </c>
    </row>
    <row r="394" ht="15.75" customHeight="1">
      <c r="A394" s="1" t="s">
        <v>399</v>
      </c>
    </row>
    <row r="395" ht="15.75" customHeight="1">
      <c r="A395" s="1" t="s">
        <v>400</v>
      </c>
    </row>
    <row r="396" ht="15.75" customHeight="1">
      <c r="A396" s="1" t="s">
        <v>401</v>
      </c>
    </row>
    <row r="397" ht="15.75" customHeight="1">
      <c r="A397" s="1" t="s">
        <v>402</v>
      </c>
    </row>
    <row r="398" ht="15.75" customHeight="1">
      <c r="A398" s="1" t="s">
        <v>403</v>
      </c>
    </row>
    <row r="399" ht="15.75" customHeight="1">
      <c r="A399" s="1" t="s">
        <v>404</v>
      </c>
    </row>
    <row r="400" ht="15.75" customHeight="1">
      <c r="A400" s="1" t="s">
        <v>405</v>
      </c>
    </row>
    <row r="401" ht="15.75" customHeight="1">
      <c r="A401" s="1" t="s">
        <v>406</v>
      </c>
    </row>
    <row r="402" ht="15.75" customHeight="1">
      <c r="A402" s="1" t="s">
        <v>407</v>
      </c>
    </row>
    <row r="403" ht="15.75" customHeight="1">
      <c r="A403" s="1" t="s">
        <v>408</v>
      </c>
    </row>
    <row r="404" ht="15.75" customHeight="1">
      <c r="A404" s="1" t="s">
        <v>409</v>
      </c>
    </row>
    <row r="405" ht="15.75" customHeight="1">
      <c r="A405" s="1" t="s">
        <v>410</v>
      </c>
    </row>
    <row r="406" ht="15.75" customHeight="1">
      <c r="A406" s="1" t="s">
        <v>411</v>
      </c>
    </row>
    <row r="407" ht="15.75" customHeight="1">
      <c r="A407" s="1" t="s">
        <v>412</v>
      </c>
    </row>
    <row r="408" ht="15.75" customHeight="1">
      <c r="A408" s="1" t="s">
        <v>413</v>
      </c>
    </row>
    <row r="409" ht="15.75" customHeight="1">
      <c r="A409" s="1" t="s">
        <v>414</v>
      </c>
    </row>
    <row r="410" ht="15.75" customHeight="1">
      <c r="A410" s="1" t="s">
        <v>415</v>
      </c>
    </row>
    <row r="411" ht="15.75" customHeight="1">
      <c r="A411" s="1" t="s">
        <v>416</v>
      </c>
    </row>
    <row r="412" ht="15.75" customHeight="1">
      <c r="A412" s="1" t="s">
        <v>417</v>
      </c>
    </row>
    <row r="413" ht="15.75" customHeight="1">
      <c r="A413" s="1" t="s">
        <v>418</v>
      </c>
    </row>
    <row r="414" ht="15.75" customHeight="1">
      <c r="A414" s="1" t="s">
        <v>419</v>
      </c>
    </row>
    <row r="415" ht="15.75" customHeight="1">
      <c r="A415" s="1" t="s">
        <v>420</v>
      </c>
    </row>
    <row r="416" ht="15.75" customHeight="1">
      <c r="A416" s="1" t="s">
        <v>421</v>
      </c>
    </row>
    <row r="417" ht="15.75" customHeight="1">
      <c r="A417" s="1" t="s">
        <v>422</v>
      </c>
    </row>
    <row r="418" ht="15.75" customHeight="1">
      <c r="A418" s="1" t="s">
        <v>423</v>
      </c>
    </row>
    <row r="419" ht="15.75" customHeight="1">
      <c r="A419" s="1" t="s">
        <v>424</v>
      </c>
    </row>
    <row r="420" ht="15.75" customHeight="1">
      <c r="A420" s="1" t="s">
        <v>425</v>
      </c>
    </row>
    <row r="421" ht="15.75" customHeight="1">
      <c r="A421" s="1" t="s">
        <v>426</v>
      </c>
    </row>
    <row r="422" ht="15.75" customHeight="1">
      <c r="A422" s="1" t="s">
        <v>427</v>
      </c>
    </row>
    <row r="423" ht="15.75" customHeight="1">
      <c r="A423" s="1" t="s">
        <v>428</v>
      </c>
    </row>
    <row r="424" ht="15.75" customHeight="1">
      <c r="A424" s="1" t="s">
        <v>429</v>
      </c>
    </row>
    <row r="425" ht="15.75" customHeight="1">
      <c r="A425" s="1" t="s">
        <v>430</v>
      </c>
    </row>
    <row r="426" ht="15.75" customHeight="1">
      <c r="A426" s="1" t="s">
        <v>431</v>
      </c>
    </row>
    <row r="427" ht="15.75" customHeight="1">
      <c r="A427" s="1" t="s">
        <v>432</v>
      </c>
    </row>
    <row r="428" ht="15.75" customHeight="1">
      <c r="A428" s="1" t="s">
        <v>433</v>
      </c>
    </row>
    <row r="429" ht="15.75" customHeight="1">
      <c r="A429" s="1" t="s">
        <v>434</v>
      </c>
    </row>
    <row r="430" ht="15.75" customHeight="1">
      <c r="A430" s="1" t="s">
        <v>435</v>
      </c>
    </row>
    <row r="431" ht="15.75" customHeight="1">
      <c r="A431" s="1" t="s">
        <v>436</v>
      </c>
    </row>
    <row r="432" ht="15.75" customHeight="1">
      <c r="A432" s="1" t="s">
        <v>437</v>
      </c>
    </row>
    <row r="433" ht="15.75" customHeight="1">
      <c r="A433" s="1" t="s">
        <v>438</v>
      </c>
    </row>
    <row r="434" ht="15.75" customHeight="1">
      <c r="A434" s="1" t="s">
        <v>439</v>
      </c>
    </row>
    <row r="435" ht="15.75" customHeight="1">
      <c r="A435" s="1" t="s">
        <v>440</v>
      </c>
    </row>
    <row r="436" ht="15.75" customHeight="1">
      <c r="A436" s="1" t="s">
        <v>441</v>
      </c>
    </row>
    <row r="437" ht="15.75" customHeight="1">
      <c r="A437" s="1" t="s">
        <v>442</v>
      </c>
    </row>
    <row r="438" ht="15.75" customHeight="1">
      <c r="A438" s="1" t="s">
        <v>443</v>
      </c>
    </row>
    <row r="439" ht="15.75" customHeight="1">
      <c r="A439" s="1" t="s">
        <v>444</v>
      </c>
    </row>
    <row r="440" ht="15.75" customHeight="1">
      <c r="A440" s="1" t="s">
        <v>445</v>
      </c>
    </row>
    <row r="441" ht="15.75" customHeight="1">
      <c r="A441" s="1" t="s">
        <v>446</v>
      </c>
    </row>
    <row r="442" ht="15.75" customHeight="1">
      <c r="A442" s="1" t="s">
        <v>447</v>
      </c>
    </row>
    <row r="443" ht="15.75" customHeight="1">
      <c r="A443" s="1" t="s">
        <v>448</v>
      </c>
    </row>
    <row r="444" ht="15.75" customHeight="1">
      <c r="A444" s="1" t="s">
        <v>449</v>
      </c>
    </row>
    <row r="445" ht="15.75" customHeight="1">
      <c r="A445" s="1" t="s">
        <v>450</v>
      </c>
    </row>
    <row r="446" ht="15.75" customHeight="1">
      <c r="A446" s="1" t="s">
        <v>451</v>
      </c>
    </row>
    <row r="447" ht="15.75" customHeight="1">
      <c r="A447" s="1" t="s">
        <v>452</v>
      </c>
    </row>
    <row r="448" ht="15.75" customHeight="1">
      <c r="A448" s="1" t="s">
        <v>453</v>
      </c>
    </row>
    <row r="449" ht="15.75" customHeight="1">
      <c r="A449" s="1" t="s">
        <v>454</v>
      </c>
    </row>
    <row r="450" ht="15.75" customHeight="1">
      <c r="A450" s="1" t="s">
        <v>455</v>
      </c>
    </row>
    <row r="451" ht="15.75" customHeight="1">
      <c r="A451" s="1" t="s">
        <v>456</v>
      </c>
    </row>
    <row r="452" ht="15.75" customHeight="1">
      <c r="A452" s="1" t="s">
        <v>457</v>
      </c>
    </row>
    <row r="453" ht="15.75" customHeight="1">
      <c r="A453" s="1" t="s">
        <v>458</v>
      </c>
    </row>
    <row r="454" ht="15.75" customHeight="1">
      <c r="A454" s="1" t="s">
        <v>459</v>
      </c>
    </row>
    <row r="455" ht="15.75" customHeight="1">
      <c r="A455" s="1" t="s">
        <v>460</v>
      </c>
    </row>
    <row r="456" ht="15.75" customHeight="1">
      <c r="A456" s="1" t="s">
        <v>461</v>
      </c>
    </row>
    <row r="457" ht="15.75" customHeight="1">
      <c r="A457" s="1" t="s">
        <v>462</v>
      </c>
    </row>
    <row r="458" ht="15.75" customHeight="1">
      <c r="A458" s="1" t="s">
        <v>463</v>
      </c>
    </row>
    <row r="459" ht="15.75" customHeight="1">
      <c r="A459" s="1" t="s">
        <v>464</v>
      </c>
    </row>
    <row r="460" ht="15.75" customHeight="1">
      <c r="A460" s="1" t="s">
        <v>465</v>
      </c>
    </row>
    <row r="461" ht="15.75" customHeight="1">
      <c r="A461" s="1" t="s">
        <v>466</v>
      </c>
    </row>
    <row r="462" ht="15.75" customHeight="1">
      <c r="A462" s="1" t="s">
        <v>467</v>
      </c>
    </row>
    <row r="463" ht="15.75" customHeight="1">
      <c r="A463" s="1" t="s">
        <v>468</v>
      </c>
    </row>
    <row r="464" ht="15.75" customHeight="1">
      <c r="A464" s="1" t="s">
        <v>469</v>
      </c>
    </row>
    <row r="465" ht="15.75" customHeight="1">
      <c r="A465" s="1" t="s">
        <v>470</v>
      </c>
    </row>
    <row r="466" ht="15.75" customHeight="1">
      <c r="A466" s="1" t="s">
        <v>471</v>
      </c>
    </row>
    <row r="467" ht="15.75" customHeight="1">
      <c r="A467" s="1" t="s">
        <v>472</v>
      </c>
    </row>
    <row r="468" ht="15.75" customHeight="1">
      <c r="A468" s="1" t="s">
        <v>473</v>
      </c>
    </row>
    <row r="469" ht="15.75" customHeight="1">
      <c r="A469" s="1" t="s">
        <v>474</v>
      </c>
    </row>
    <row r="470" ht="15.75" customHeight="1">
      <c r="A470" s="1" t="s">
        <v>475</v>
      </c>
    </row>
    <row r="471" ht="15.75" customHeight="1">
      <c r="A471" s="1" t="s">
        <v>476</v>
      </c>
    </row>
    <row r="472" ht="15.75" customHeight="1">
      <c r="A472" s="1" t="s">
        <v>477</v>
      </c>
    </row>
    <row r="473" ht="15.75" customHeight="1">
      <c r="A473" s="1" t="s">
        <v>478</v>
      </c>
    </row>
    <row r="474" ht="15.75" customHeight="1">
      <c r="A474" s="1" t="s">
        <v>479</v>
      </c>
    </row>
    <row r="475" ht="15.75" customHeight="1">
      <c r="A475" s="1" t="s">
        <v>480</v>
      </c>
    </row>
    <row r="476" ht="15.75" customHeight="1">
      <c r="A476" s="1" t="s">
        <v>481</v>
      </c>
    </row>
    <row r="477" ht="15.75" customHeight="1">
      <c r="A477" s="1" t="s">
        <v>482</v>
      </c>
    </row>
    <row r="478" ht="15.75" customHeight="1">
      <c r="A478" s="1" t="s">
        <v>483</v>
      </c>
    </row>
    <row r="479" ht="15.75" customHeight="1">
      <c r="A479" s="1" t="s">
        <v>484</v>
      </c>
    </row>
    <row r="480" ht="15.75" customHeight="1">
      <c r="A480" s="1" t="s">
        <v>485</v>
      </c>
    </row>
    <row r="481" ht="15.75" customHeight="1">
      <c r="A481" s="1" t="s">
        <v>486</v>
      </c>
    </row>
    <row r="482" ht="15.75" customHeight="1">
      <c r="A482" s="1" t="s">
        <v>487</v>
      </c>
    </row>
    <row r="483" ht="15.75" customHeight="1">
      <c r="A483" s="1" t="s">
        <v>488</v>
      </c>
    </row>
    <row r="484" ht="15.75" customHeight="1">
      <c r="A484" s="1" t="s">
        <v>489</v>
      </c>
    </row>
    <row r="485" ht="15.75" customHeight="1">
      <c r="A485" s="1" t="s">
        <v>490</v>
      </c>
    </row>
    <row r="486" ht="15.75" customHeight="1">
      <c r="A486" s="1" t="s">
        <v>491</v>
      </c>
    </row>
    <row r="487" ht="15.75" customHeight="1">
      <c r="A487" s="1" t="s">
        <v>492</v>
      </c>
    </row>
    <row r="488" ht="15.75" customHeight="1">
      <c r="A488" s="1" t="s">
        <v>493</v>
      </c>
    </row>
    <row r="489" ht="15.75" customHeight="1">
      <c r="A489" s="1" t="s">
        <v>494</v>
      </c>
    </row>
    <row r="490" ht="15.75" customHeight="1">
      <c r="A490" s="1" t="s">
        <v>495</v>
      </c>
    </row>
    <row r="491" ht="15.75" customHeight="1">
      <c r="A491" s="1" t="s">
        <v>496</v>
      </c>
    </row>
    <row r="492" ht="15.75" customHeight="1">
      <c r="A492" s="1" t="s">
        <v>497</v>
      </c>
    </row>
    <row r="493" ht="15.75" customHeight="1">
      <c r="A493" s="1" t="s">
        <v>498</v>
      </c>
    </row>
    <row r="494" ht="15.75" customHeight="1">
      <c r="A494" s="1" t="s">
        <v>499</v>
      </c>
    </row>
    <row r="495" ht="15.75" customHeight="1">
      <c r="A495" s="1" t="s">
        <v>500</v>
      </c>
    </row>
    <row r="496" ht="15.75" customHeight="1">
      <c r="A496" s="1" t="s">
        <v>501</v>
      </c>
    </row>
    <row r="497" ht="15.75" customHeight="1">
      <c r="A497" s="1" t="s">
        <v>502</v>
      </c>
    </row>
    <row r="498" ht="15.75" customHeight="1">
      <c r="A498" s="1" t="s">
        <v>503</v>
      </c>
    </row>
    <row r="499" ht="15.75" customHeight="1">
      <c r="A499" s="1" t="s">
        <v>504</v>
      </c>
    </row>
    <row r="500" ht="15.75" customHeight="1">
      <c r="A500" s="1" t="s">
        <v>505</v>
      </c>
    </row>
    <row r="501" ht="15.75" customHeight="1">
      <c r="A501" s="1" t="s">
        <v>506</v>
      </c>
    </row>
    <row r="502" ht="15.75" customHeight="1">
      <c r="A502" s="1" t="s">
        <v>507</v>
      </c>
    </row>
    <row r="503" ht="15.75" customHeight="1">
      <c r="A503" s="1" t="s">
        <v>508</v>
      </c>
    </row>
    <row r="504" ht="15.75" customHeight="1">
      <c r="A504" s="1" t="s">
        <v>509</v>
      </c>
    </row>
    <row r="505" ht="15.75" customHeight="1">
      <c r="A505" s="1" t="s">
        <v>510</v>
      </c>
    </row>
    <row r="506" ht="15.75" customHeight="1">
      <c r="A506" s="1" t="s">
        <v>511</v>
      </c>
    </row>
    <row r="507" ht="15.75" customHeight="1">
      <c r="A507" s="1" t="s">
        <v>512</v>
      </c>
    </row>
    <row r="508" ht="15.75" customHeight="1">
      <c r="A508" s="1" t="s">
        <v>513</v>
      </c>
    </row>
    <row r="509" ht="15.75" customHeight="1">
      <c r="A509" s="1" t="s">
        <v>514</v>
      </c>
    </row>
    <row r="510" ht="15.75" customHeight="1">
      <c r="A510" s="1" t="s">
        <v>515</v>
      </c>
    </row>
    <row r="511" ht="15.75" customHeight="1">
      <c r="A511" s="1" t="s">
        <v>516</v>
      </c>
    </row>
    <row r="512" ht="15.75" customHeight="1">
      <c r="A512" s="1" t="s">
        <v>517</v>
      </c>
    </row>
    <row r="513" ht="15.75" customHeight="1">
      <c r="A513" s="1" t="s">
        <v>518</v>
      </c>
    </row>
    <row r="514" ht="15.75" customHeight="1">
      <c r="A514" s="1" t="s">
        <v>519</v>
      </c>
    </row>
    <row r="515" ht="15.75" customHeight="1">
      <c r="A515" s="1" t="s">
        <v>520</v>
      </c>
    </row>
    <row r="516" ht="15.75" customHeight="1">
      <c r="A516" s="1" t="s">
        <v>521</v>
      </c>
    </row>
    <row r="517" ht="15.75" customHeight="1">
      <c r="A517" s="1" t="s">
        <v>522</v>
      </c>
    </row>
    <row r="518" ht="15.75" customHeight="1">
      <c r="A518" s="1" t="s">
        <v>523</v>
      </c>
    </row>
    <row r="519" ht="15.75" customHeight="1">
      <c r="A519" s="1" t="s">
        <v>524</v>
      </c>
    </row>
    <row r="520" ht="15.75" customHeight="1">
      <c r="A520" s="1" t="s">
        <v>525</v>
      </c>
    </row>
    <row r="521" ht="15.75" customHeight="1">
      <c r="A521" s="1" t="s">
        <v>526</v>
      </c>
    </row>
    <row r="522" ht="15.75" customHeight="1">
      <c r="A522" s="1" t="s">
        <v>527</v>
      </c>
    </row>
    <row r="523" ht="15.75" customHeight="1">
      <c r="A523" s="1" t="s">
        <v>528</v>
      </c>
    </row>
    <row r="524" ht="15.75" customHeight="1">
      <c r="A524" s="1" t="s">
        <v>529</v>
      </c>
    </row>
    <row r="525" ht="15.75" customHeight="1">
      <c r="A525" s="1" t="s">
        <v>530</v>
      </c>
    </row>
    <row r="526" ht="15.75" customHeight="1">
      <c r="A526" s="1" t="s">
        <v>531</v>
      </c>
    </row>
    <row r="527" ht="15.75" customHeight="1">
      <c r="A527" s="1" t="s">
        <v>532</v>
      </c>
    </row>
    <row r="528" ht="15.75" customHeight="1">
      <c r="A528" s="1" t="s">
        <v>533</v>
      </c>
    </row>
    <row r="529" ht="15.75" customHeight="1">
      <c r="A529" s="1" t="s">
        <v>534</v>
      </c>
    </row>
    <row r="530" ht="15.75" customHeight="1">
      <c r="A530" s="1" t="s">
        <v>535</v>
      </c>
    </row>
    <row r="531" ht="15.75" customHeight="1">
      <c r="A531" s="1" t="s">
        <v>536</v>
      </c>
    </row>
    <row r="532" ht="15.75" customHeight="1">
      <c r="A532" s="1" t="s">
        <v>537</v>
      </c>
    </row>
    <row r="533" ht="15.75" customHeight="1">
      <c r="A533" s="1" t="s">
        <v>538</v>
      </c>
    </row>
    <row r="534" ht="15.75" customHeight="1">
      <c r="A534" s="1" t="s">
        <v>539</v>
      </c>
    </row>
    <row r="535" ht="15.75" customHeight="1">
      <c r="A535" s="1" t="s">
        <v>540</v>
      </c>
    </row>
    <row r="536" ht="15.75" customHeight="1">
      <c r="A536" s="1" t="s">
        <v>541</v>
      </c>
    </row>
    <row r="537" ht="15.75" customHeight="1">
      <c r="A537" s="1" t="s">
        <v>542</v>
      </c>
    </row>
    <row r="538" ht="15.75" customHeight="1">
      <c r="A538" s="1" t="s">
        <v>543</v>
      </c>
    </row>
    <row r="539" ht="15.75" customHeight="1">
      <c r="A539" s="1" t="s">
        <v>544</v>
      </c>
    </row>
    <row r="540" ht="15.75" customHeight="1">
      <c r="A540" s="1" t="s">
        <v>545</v>
      </c>
    </row>
    <row r="541" ht="15.75" customHeight="1">
      <c r="A541" s="1" t="s">
        <v>546</v>
      </c>
    </row>
    <row r="542" ht="15.75" customHeight="1">
      <c r="A542" s="1" t="s">
        <v>547</v>
      </c>
    </row>
    <row r="543" ht="15.75" customHeight="1">
      <c r="A543" s="1" t="s">
        <v>548</v>
      </c>
    </row>
    <row r="544" ht="15.75" customHeight="1">
      <c r="A544" s="1" t="s">
        <v>549</v>
      </c>
    </row>
    <row r="545" ht="15.75" customHeight="1">
      <c r="A545" s="1" t="s">
        <v>550</v>
      </c>
    </row>
    <row r="546" ht="15.75" customHeight="1">
      <c r="A546" s="1" t="s">
        <v>551</v>
      </c>
    </row>
    <row r="547" ht="15.75" customHeight="1">
      <c r="A547" s="1" t="s">
        <v>552</v>
      </c>
    </row>
    <row r="548" ht="15.75" customHeight="1">
      <c r="A548" s="1" t="s">
        <v>553</v>
      </c>
    </row>
    <row r="549" ht="15.75" customHeight="1">
      <c r="A549" s="1" t="s">
        <v>554</v>
      </c>
    </row>
    <row r="550" ht="15.75" customHeight="1">
      <c r="A550" s="1" t="s">
        <v>555</v>
      </c>
    </row>
    <row r="551" ht="15.75" customHeight="1">
      <c r="A551" s="1" t="s">
        <v>556</v>
      </c>
    </row>
    <row r="552" ht="15.75" customHeight="1">
      <c r="A552" s="1" t="s">
        <v>557</v>
      </c>
    </row>
    <row r="553" ht="15.75" customHeight="1">
      <c r="A553" s="1" t="s">
        <v>558</v>
      </c>
    </row>
    <row r="554" ht="15.75" customHeight="1">
      <c r="A554" s="1" t="s">
        <v>559</v>
      </c>
    </row>
    <row r="555" ht="15.75" customHeight="1">
      <c r="A555" s="1" t="s">
        <v>560</v>
      </c>
    </row>
    <row r="556" ht="15.75" customHeight="1">
      <c r="A556" s="1" t="s">
        <v>561</v>
      </c>
    </row>
    <row r="557" ht="15.75" customHeight="1">
      <c r="A557" s="1" t="s">
        <v>562</v>
      </c>
    </row>
    <row r="558" ht="15.75" customHeight="1">
      <c r="A558" s="1" t="s">
        <v>563</v>
      </c>
    </row>
    <row r="559" ht="15.75" customHeight="1">
      <c r="A559" s="1" t="s">
        <v>564</v>
      </c>
    </row>
    <row r="560" ht="15.75" customHeight="1">
      <c r="A560" s="1" t="s">
        <v>565</v>
      </c>
    </row>
    <row r="561" ht="15.75" customHeight="1">
      <c r="A561" s="1" t="s">
        <v>566</v>
      </c>
    </row>
    <row r="562" ht="15.75" customHeight="1">
      <c r="A562" s="1" t="s">
        <v>567</v>
      </c>
    </row>
    <row r="563" ht="15.75" customHeight="1">
      <c r="A563" s="1" t="s">
        <v>568</v>
      </c>
    </row>
    <row r="564" ht="15.75" customHeight="1">
      <c r="A564" s="1" t="s">
        <v>569</v>
      </c>
    </row>
    <row r="565" ht="15.75" customHeight="1">
      <c r="A565" s="1" t="s">
        <v>570</v>
      </c>
    </row>
    <row r="566" ht="15.75" customHeight="1">
      <c r="A566" s="1" t="s">
        <v>571</v>
      </c>
    </row>
    <row r="567" ht="15.75" customHeight="1">
      <c r="A567" s="1" t="s">
        <v>572</v>
      </c>
    </row>
    <row r="568" ht="15.75" customHeight="1">
      <c r="A568" s="1" t="s">
        <v>573</v>
      </c>
    </row>
    <row r="569" ht="15.75" customHeight="1">
      <c r="A569" s="1" t="s">
        <v>574</v>
      </c>
    </row>
    <row r="570" ht="15.75" customHeight="1">
      <c r="A570" s="1" t="s">
        <v>575</v>
      </c>
    </row>
    <row r="571" ht="15.75" customHeight="1">
      <c r="A571" s="1" t="s">
        <v>576</v>
      </c>
    </row>
    <row r="572" ht="15.75" customHeight="1">
      <c r="A572" s="1" t="s">
        <v>577</v>
      </c>
    </row>
    <row r="573" ht="15.75" customHeight="1">
      <c r="A573" s="1" t="s">
        <v>578</v>
      </c>
    </row>
    <row r="574" ht="15.75" customHeight="1">
      <c r="A574" s="1" t="s">
        <v>579</v>
      </c>
    </row>
    <row r="575" ht="15.75" customHeight="1">
      <c r="A575" s="1" t="s">
        <v>580</v>
      </c>
    </row>
    <row r="576" ht="15.75" customHeight="1">
      <c r="A576" s="1" t="s">
        <v>581</v>
      </c>
    </row>
    <row r="577" ht="15.75" customHeight="1">
      <c r="A577" s="1" t="s">
        <v>582</v>
      </c>
    </row>
    <row r="578" ht="15.75" customHeight="1">
      <c r="A578" s="1" t="s">
        <v>583</v>
      </c>
    </row>
    <row r="579" ht="15.75" customHeight="1">
      <c r="A579" s="1" t="s">
        <v>584</v>
      </c>
    </row>
    <row r="580" ht="15.75" customHeight="1">
      <c r="A580" s="1" t="s">
        <v>585</v>
      </c>
    </row>
    <row r="581" ht="15.75" customHeight="1">
      <c r="A581" s="1" t="s">
        <v>586</v>
      </c>
    </row>
    <row r="582" ht="15.75" customHeight="1">
      <c r="A582" s="1" t="s">
        <v>587</v>
      </c>
    </row>
    <row r="583" ht="15.75" customHeight="1">
      <c r="A583" s="1" t="s">
        <v>588</v>
      </c>
    </row>
    <row r="584" ht="15.75" customHeight="1">
      <c r="A584" s="1" t="s">
        <v>589</v>
      </c>
    </row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A$584">
    <sortState ref="A1:A584">
      <sortCondition ref="A1:A584"/>
    </sortState>
  </autoFilter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00000"/>
    <pageSetUpPr/>
  </sheetPr>
  <sheetViews>
    <sheetView showGridLines="0" workbookViewId="0"/>
  </sheetViews>
  <sheetFormatPr customHeight="1" defaultColWidth="12.63" defaultRowHeight="15.0"/>
  <cols>
    <col customWidth="1" min="1" max="1" width="17.0"/>
    <col customWidth="1" min="2" max="2" width="9.88"/>
    <col customWidth="1" min="3" max="3" width="35.13"/>
    <col customWidth="1" min="4" max="4" width="29.63"/>
    <col customWidth="1" min="5" max="5" width="9.38"/>
    <col customWidth="1" min="6" max="16" width="14.75"/>
  </cols>
  <sheetData>
    <row r="1">
      <c r="A1" s="2" t="s">
        <v>590</v>
      </c>
      <c r="B1" s="3" t="s">
        <v>591</v>
      </c>
      <c r="C1" s="3" t="s">
        <v>592</v>
      </c>
      <c r="D1" s="3" t="s">
        <v>593</v>
      </c>
      <c r="E1" s="4" t="s">
        <v>594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ht="15.75" customHeight="1">
      <c r="A2" s="6" t="s">
        <v>595</v>
      </c>
      <c r="B2" s="7" t="s">
        <v>596</v>
      </c>
      <c r="C2" s="8" t="s">
        <v>597</v>
      </c>
      <c r="D2" s="8" t="s">
        <v>598</v>
      </c>
      <c r="E2" s="9">
        <v>5344.0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ht="15.75" customHeight="1">
      <c r="A3" s="6" t="s">
        <v>595</v>
      </c>
      <c r="B3" s="7" t="s">
        <v>596</v>
      </c>
      <c r="C3" s="8" t="s">
        <v>597</v>
      </c>
      <c r="D3" s="8" t="s">
        <v>599</v>
      </c>
      <c r="E3" s="9">
        <v>5279.0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ht="15.75" customHeight="1">
      <c r="A4" s="6" t="s">
        <v>595</v>
      </c>
      <c r="B4" s="10">
        <v>44228.0</v>
      </c>
      <c r="C4" s="8" t="s">
        <v>597</v>
      </c>
      <c r="D4" s="8" t="s">
        <v>600</v>
      </c>
      <c r="E4" s="9">
        <v>95105.0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ht="15.75" customHeight="1">
      <c r="A5" s="6" t="s">
        <v>595</v>
      </c>
      <c r="B5" s="7" t="s">
        <v>601</v>
      </c>
      <c r="C5" s="8" t="s">
        <v>597</v>
      </c>
      <c r="D5" s="8" t="s">
        <v>600</v>
      </c>
      <c r="E5" s="9">
        <v>4483.0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ht="15.75" customHeight="1">
      <c r="A6" s="6" t="s">
        <v>595</v>
      </c>
      <c r="B6" s="10">
        <v>44197.0</v>
      </c>
      <c r="C6" s="8" t="s">
        <v>602</v>
      </c>
      <c r="D6" s="8" t="s">
        <v>603</v>
      </c>
      <c r="E6" s="9">
        <v>83759.0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ht="15.75" customHeight="1">
      <c r="A7" s="6" t="s">
        <v>595</v>
      </c>
      <c r="B7" s="10">
        <v>44197.0</v>
      </c>
      <c r="C7" s="8" t="s">
        <v>597</v>
      </c>
      <c r="D7" s="8" t="s">
        <v>600</v>
      </c>
      <c r="E7" s="9">
        <v>71083.0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ht="15.75" customHeight="1">
      <c r="A8" s="6" t="s">
        <v>595</v>
      </c>
      <c r="B8" s="10">
        <v>44197.0</v>
      </c>
      <c r="C8" s="8" t="s">
        <v>602</v>
      </c>
      <c r="D8" s="8" t="s">
        <v>604</v>
      </c>
      <c r="E8" s="9">
        <v>69415.0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ht="15.75" customHeight="1">
      <c r="A9" s="6" t="s">
        <v>595</v>
      </c>
      <c r="B9" s="7" t="s">
        <v>601</v>
      </c>
      <c r="C9" s="8" t="s">
        <v>605</v>
      </c>
      <c r="D9" s="8" t="s">
        <v>606</v>
      </c>
      <c r="E9" s="9">
        <v>42607.0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ht="15.75" customHeight="1">
      <c r="A10" s="6" t="s">
        <v>595</v>
      </c>
      <c r="B10" s="7" t="s">
        <v>601</v>
      </c>
      <c r="C10" s="8" t="s">
        <v>605</v>
      </c>
      <c r="D10" s="8" t="s">
        <v>607</v>
      </c>
      <c r="E10" s="9">
        <v>2118.0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ht="15.75" customHeight="1">
      <c r="A11" s="6" t="s">
        <v>595</v>
      </c>
      <c r="B11" s="7" t="s">
        <v>601</v>
      </c>
      <c r="C11" s="8" t="s">
        <v>602</v>
      </c>
      <c r="D11" s="8" t="s">
        <v>604</v>
      </c>
      <c r="E11" s="9">
        <v>3355.0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ht="15.75" customHeight="1">
      <c r="A12" s="6" t="s">
        <v>595</v>
      </c>
      <c r="B12" s="7" t="s">
        <v>596</v>
      </c>
      <c r="C12" s="8" t="s">
        <v>602</v>
      </c>
      <c r="D12" s="8" t="s">
        <v>603</v>
      </c>
      <c r="E12" s="9">
        <v>5224.0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ht="15.75" customHeight="1">
      <c r="A13" s="6" t="s">
        <v>595</v>
      </c>
      <c r="B13" s="7" t="s">
        <v>596</v>
      </c>
      <c r="C13" s="8" t="s">
        <v>597</v>
      </c>
      <c r="D13" s="8" t="s">
        <v>600</v>
      </c>
      <c r="E13" s="9">
        <v>5008.0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ht="15.75" customHeight="1">
      <c r="A14" s="6" t="s">
        <v>595</v>
      </c>
      <c r="B14" s="10">
        <v>44228.0</v>
      </c>
      <c r="C14" s="8" t="s">
        <v>608</v>
      </c>
      <c r="D14" s="8" t="s">
        <v>609</v>
      </c>
      <c r="E14" s="9">
        <v>307826.0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ht="15.75" customHeight="1">
      <c r="A15" s="6" t="s">
        <v>595</v>
      </c>
      <c r="B15" s="10">
        <v>44228.0</v>
      </c>
      <c r="C15" s="8" t="s">
        <v>608</v>
      </c>
      <c r="D15" s="8" t="s">
        <v>610</v>
      </c>
      <c r="E15" s="9">
        <v>220526.0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ht="15.75" customHeight="1">
      <c r="A16" s="6" t="s">
        <v>595</v>
      </c>
      <c r="B16" s="7" t="s">
        <v>601</v>
      </c>
      <c r="C16" s="8" t="s">
        <v>602</v>
      </c>
      <c r="D16" s="8" t="s">
        <v>603</v>
      </c>
      <c r="E16" s="9">
        <v>8010.0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ht="15.75" customHeight="1">
      <c r="A17" s="6" t="s">
        <v>595</v>
      </c>
      <c r="B17" s="10">
        <v>44228.0</v>
      </c>
      <c r="C17" s="8" t="s">
        <v>602</v>
      </c>
      <c r="D17" s="8" t="s">
        <v>611</v>
      </c>
      <c r="E17" s="9">
        <v>260081.0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ht="15.75" customHeight="1">
      <c r="A18" s="6" t="s">
        <v>595</v>
      </c>
      <c r="B18" s="10">
        <v>44228.0</v>
      </c>
      <c r="C18" s="8" t="s">
        <v>602</v>
      </c>
      <c r="D18" s="8" t="s">
        <v>612</v>
      </c>
      <c r="E18" s="9">
        <v>201029.0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ht="15.75" customHeight="1">
      <c r="A19" s="6" t="s">
        <v>595</v>
      </c>
      <c r="B19" s="10">
        <v>44197.0</v>
      </c>
      <c r="C19" s="8" t="s">
        <v>605</v>
      </c>
      <c r="D19" s="8" t="s">
        <v>613</v>
      </c>
      <c r="E19" s="9">
        <v>590000.0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ht="15.75" customHeight="1">
      <c r="A20" s="6" t="s">
        <v>595</v>
      </c>
      <c r="B20" s="10">
        <v>44228.0</v>
      </c>
      <c r="C20" s="8" t="s">
        <v>605</v>
      </c>
      <c r="D20" s="8" t="s">
        <v>613</v>
      </c>
      <c r="E20" s="9">
        <v>348191.0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ht="15.75" customHeight="1">
      <c r="A21" s="6" t="s">
        <v>595</v>
      </c>
      <c r="B21" s="10">
        <v>44256.0</v>
      </c>
      <c r="C21" s="8" t="s">
        <v>602</v>
      </c>
      <c r="D21" s="8" t="s">
        <v>604</v>
      </c>
      <c r="E21" s="9">
        <v>86653.0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ht="15.75" customHeight="1">
      <c r="A22" s="6" t="s">
        <v>595</v>
      </c>
      <c r="B22" s="10">
        <v>44256.0</v>
      </c>
      <c r="C22" s="8" t="s">
        <v>605</v>
      </c>
      <c r="D22" s="8" t="s">
        <v>607</v>
      </c>
      <c r="E22" s="9">
        <v>70383.0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ht="15.75" customHeight="1">
      <c r="A23" s="6" t="s">
        <v>595</v>
      </c>
      <c r="B23" s="7" t="s">
        <v>596</v>
      </c>
      <c r="C23" s="8" t="s">
        <v>605</v>
      </c>
      <c r="D23" s="8" t="s">
        <v>613</v>
      </c>
      <c r="E23" s="9">
        <v>15232.0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ht="15.75" customHeight="1">
      <c r="A24" s="6" t="s">
        <v>595</v>
      </c>
      <c r="B24" s="10">
        <v>44287.0</v>
      </c>
      <c r="C24" s="8" t="s">
        <v>602</v>
      </c>
      <c r="D24" s="8" t="s">
        <v>614</v>
      </c>
      <c r="E24" s="9">
        <v>146074.0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ht="15.75" customHeight="1">
      <c r="A25" s="6" t="s">
        <v>595</v>
      </c>
      <c r="B25" s="10">
        <v>44287.0</v>
      </c>
      <c r="C25" s="8" t="s">
        <v>602</v>
      </c>
      <c r="D25" s="8" t="s">
        <v>615</v>
      </c>
      <c r="E25" s="9">
        <v>133534.0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ht="15.75" customHeight="1">
      <c r="A26" s="6" t="s">
        <v>595</v>
      </c>
      <c r="B26" s="10">
        <v>44287.0</v>
      </c>
      <c r="C26" s="8" t="s">
        <v>602</v>
      </c>
      <c r="D26" s="8" t="s">
        <v>616</v>
      </c>
      <c r="E26" s="9">
        <v>131592.0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ht="15.75" customHeight="1">
      <c r="A27" s="6" t="s">
        <v>595</v>
      </c>
      <c r="B27" s="10">
        <v>44287.0</v>
      </c>
      <c r="C27" s="8" t="s">
        <v>602</v>
      </c>
      <c r="D27" s="8" t="s">
        <v>617</v>
      </c>
      <c r="E27" s="9">
        <v>131062.0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ht="15.75" customHeight="1">
      <c r="A28" s="6" t="s">
        <v>595</v>
      </c>
      <c r="B28" s="10">
        <v>44197.0</v>
      </c>
      <c r="C28" s="8" t="s">
        <v>602</v>
      </c>
      <c r="D28" s="8" t="s">
        <v>611</v>
      </c>
      <c r="E28" s="9">
        <v>106017.0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ht="15.75" customHeight="1">
      <c r="A29" s="6" t="s">
        <v>595</v>
      </c>
      <c r="B29" s="7" t="s">
        <v>596</v>
      </c>
      <c r="C29" s="8" t="s">
        <v>602</v>
      </c>
      <c r="D29" s="8" t="s">
        <v>612</v>
      </c>
      <c r="E29" s="9">
        <v>5184.0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ht="15.75" customHeight="1">
      <c r="A30" s="6" t="s">
        <v>595</v>
      </c>
      <c r="B30" s="7" t="s">
        <v>601</v>
      </c>
      <c r="C30" s="8" t="s">
        <v>597</v>
      </c>
      <c r="D30" s="8" t="s">
        <v>618</v>
      </c>
      <c r="E30" s="9">
        <v>7858.0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ht="15.75" customHeight="1">
      <c r="A31" s="6" t="s">
        <v>595</v>
      </c>
      <c r="B31" s="10">
        <v>44228.0</v>
      </c>
      <c r="C31" s="8" t="s">
        <v>605</v>
      </c>
      <c r="D31" s="8" t="s">
        <v>606</v>
      </c>
      <c r="E31" s="9">
        <v>419226.0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ht="15.75" customHeight="1">
      <c r="A32" s="6" t="s">
        <v>595</v>
      </c>
      <c r="B32" s="7" t="s">
        <v>596</v>
      </c>
      <c r="C32" s="8" t="s">
        <v>602</v>
      </c>
      <c r="D32" s="8" t="s">
        <v>616</v>
      </c>
      <c r="E32" s="9">
        <v>5262.0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ht="15.75" customHeight="1">
      <c r="A33" s="6" t="s">
        <v>595</v>
      </c>
      <c r="B33" s="7" t="s">
        <v>596</v>
      </c>
      <c r="C33" s="8" t="s">
        <v>605</v>
      </c>
      <c r="D33" s="8" t="s">
        <v>619</v>
      </c>
      <c r="E33" s="9">
        <v>1753.0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ht="15.75" customHeight="1">
      <c r="A34" s="6" t="s">
        <v>595</v>
      </c>
      <c r="B34" s="7" t="s">
        <v>601</v>
      </c>
      <c r="C34" s="8" t="s">
        <v>605</v>
      </c>
      <c r="D34" s="8" t="s">
        <v>619</v>
      </c>
      <c r="E34" s="9">
        <v>1006.0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ht="15.75" customHeight="1">
      <c r="A35" s="6" t="s">
        <v>595</v>
      </c>
      <c r="B35" s="7" t="s">
        <v>596</v>
      </c>
      <c r="C35" s="8" t="s">
        <v>602</v>
      </c>
      <c r="D35" s="8" t="s">
        <v>604</v>
      </c>
      <c r="E35" s="9">
        <v>5130.0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ht="15.75" customHeight="1">
      <c r="A36" s="6" t="s">
        <v>595</v>
      </c>
      <c r="B36" s="7" t="s">
        <v>596</v>
      </c>
      <c r="C36" s="8" t="s">
        <v>605</v>
      </c>
      <c r="D36" s="8" t="s">
        <v>607</v>
      </c>
      <c r="E36" s="9">
        <v>3738.0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ht="15.75" customHeight="1">
      <c r="A37" s="6" t="s">
        <v>595</v>
      </c>
      <c r="B37" s="10">
        <v>44228.0</v>
      </c>
      <c r="C37" s="8" t="s">
        <v>605</v>
      </c>
      <c r="D37" s="8" t="s">
        <v>619</v>
      </c>
      <c r="E37" s="9">
        <v>228643.0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ht="15.75" customHeight="1">
      <c r="A38" s="6" t="s">
        <v>595</v>
      </c>
      <c r="B38" s="7" t="s">
        <v>596</v>
      </c>
      <c r="C38" s="8" t="s">
        <v>605</v>
      </c>
      <c r="D38" s="8" t="s">
        <v>606</v>
      </c>
      <c r="E38" s="9">
        <v>12870.0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ht="15.75" customHeight="1">
      <c r="A39" s="6" t="s">
        <v>595</v>
      </c>
      <c r="B39" s="10">
        <v>44197.0</v>
      </c>
      <c r="C39" s="8" t="s">
        <v>605</v>
      </c>
      <c r="D39" s="8" t="s">
        <v>620</v>
      </c>
      <c r="E39" s="9">
        <v>81955.0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ht="15.75" customHeight="1">
      <c r="A40" s="6" t="s">
        <v>595</v>
      </c>
      <c r="B40" s="10">
        <v>44287.0</v>
      </c>
      <c r="C40" s="8" t="s">
        <v>597</v>
      </c>
      <c r="D40" s="8" t="s">
        <v>621</v>
      </c>
      <c r="E40" s="9">
        <v>125167.0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ht="15.75" customHeight="1">
      <c r="A41" s="6" t="s">
        <v>595</v>
      </c>
      <c r="B41" s="10">
        <v>44287.0</v>
      </c>
      <c r="C41" s="8" t="s">
        <v>597</v>
      </c>
      <c r="D41" s="8" t="s">
        <v>618</v>
      </c>
      <c r="E41" s="9">
        <v>118529.0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ht="15.75" customHeight="1">
      <c r="A42" s="6" t="s">
        <v>595</v>
      </c>
      <c r="B42" s="10">
        <v>44287.0</v>
      </c>
      <c r="C42" s="8" t="s">
        <v>597</v>
      </c>
      <c r="D42" s="8" t="s">
        <v>622</v>
      </c>
      <c r="E42" s="9">
        <v>118407.0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ht="15.75" customHeight="1">
      <c r="A43" s="6" t="s">
        <v>595</v>
      </c>
      <c r="B43" s="10">
        <v>44287.0</v>
      </c>
      <c r="C43" s="8" t="s">
        <v>597</v>
      </c>
      <c r="D43" s="8" t="s">
        <v>623</v>
      </c>
      <c r="E43" s="9">
        <v>98067.0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ht="15.75" customHeight="1">
      <c r="A44" s="6" t="s">
        <v>595</v>
      </c>
      <c r="B44" s="10">
        <v>44197.0</v>
      </c>
      <c r="C44" s="8" t="s">
        <v>608</v>
      </c>
      <c r="D44" s="8" t="s">
        <v>624</v>
      </c>
      <c r="E44" s="9">
        <v>210763.0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ht="15.75" customHeight="1">
      <c r="A45" s="6" t="s">
        <v>595</v>
      </c>
      <c r="B45" s="7" t="s">
        <v>596</v>
      </c>
      <c r="C45" s="8" t="s">
        <v>602</v>
      </c>
      <c r="D45" s="8" t="s">
        <v>617</v>
      </c>
      <c r="E45" s="9">
        <v>5170.0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ht="15.75" customHeight="1">
      <c r="A46" s="6" t="s">
        <v>595</v>
      </c>
      <c r="B46" s="7" t="s">
        <v>596</v>
      </c>
      <c r="C46" s="8" t="s">
        <v>602</v>
      </c>
      <c r="D46" s="8" t="s">
        <v>625</v>
      </c>
      <c r="E46" s="9">
        <v>5145.0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ht="15.75" customHeight="1">
      <c r="A47" s="6" t="s">
        <v>595</v>
      </c>
      <c r="B47" s="7" t="s">
        <v>601</v>
      </c>
      <c r="C47" s="8" t="s">
        <v>608</v>
      </c>
      <c r="D47" s="8" t="s">
        <v>626</v>
      </c>
      <c r="E47" s="9">
        <v>3872.0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ht="15.75" customHeight="1">
      <c r="A48" s="6" t="s">
        <v>595</v>
      </c>
      <c r="B48" s="10">
        <v>44228.0</v>
      </c>
      <c r="C48" s="8" t="s">
        <v>602</v>
      </c>
      <c r="D48" s="8" t="s">
        <v>614</v>
      </c>
      <c r="E48" s="9">
        <v>328003.0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ht="15.75" customHeight="1">
      <c r="A49" s="6" t="s">
        <v>595</v>
      </c>
      <c r="B49" s="10">
        <v>44228.0</v>
      </c>
      <c r="C49" s="8" t="s">
        <v>602</v>
      </c>
      <c r="D49" s="8" t="s">
        <v>617</v>
      </c>
      <c r="E49" s="9">
        <v>307570.0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ht="15.75" customHeight="1">
      <c r="A50" s="6" t="s">
        <v>595</v>
      </c>
      <c r="B50" s="10">
        <v>44228.0</v>
      </c>
      <c r="C50" s="8" t="s">
        <v>602</v>
      </c>
      <c r="D50" s="8" t="s">
        <v>616</v>
      </c>
      <c r="E50" s="9">
        <v>302282.0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ht="15.75" customHeight="1">
      <c r="A51" s="6" t="s">
        <v>595</v>
      </c>
      <c r="B51" s="10">
        <v>44228.0</v>
      </c>
      <c r="C51" s="8" t="s">
        <v>602</v>
      </c>
      <c r="D51" s="8" t="s">
        <v>615</v>
      </c>
      <c r="E51" s="9">
        <v>289810.0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ht="15.75" customHeight="1">
      <c r="A52" s="6" t="s">
        <v>595</v>
      </c>
      <c r="B52" s="11" t="s">
        <v>601</v>
      </c>
      <c r="C52" s="8" t="s">
        <v>602</v>
      </c>
      <c r="D52" s="12" t="s">
        <v>615</v>
      </c>
      <c r="E52" s="9">
        <v>6300.0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r="53" ht="15.75" customHeight="1">
      <c r="A53" s="6" t="s">
        <v>595</v>
      </c>
      <c r="B53" s="11" t="s">
        <v>601</v>
      </c>
      <c r="C53" s="8" t="s">
        <v>602</v>
      </c>
      <c r="D53" s="12" t="s">
        <v>627</v>
      </c>
      <c r="E53" s="9">
        <v>4899.0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r="54" ht="15.75" customHeight="1">
      <c r="A54" s="6" t="s">
        <v>595</v>
      </c>
      <c r="B54" s="11" t="s">
        <v>628</v>
      </c>
      <c r="C54" s="8" t="s">
        <v>602</v>
      </c>
      <c r="D54" s="12" t="s">
        <v>627</v>
      </c>
      <c r="E54" s="9">
        <v>55314.0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r="55" ht="15.75" customHeight="1">
      <c r="A55" s="6" t="s">
        <v>595</v>
      </c>
      <c r="B55" s="11" t="s">
        <v>628</v>
      </c>
      <c r="C55" s="8" t="s">
        <v>602</v>
      </c>
      <c r="D55" s="12" t="s">
        <v>612</v>
      </c>
      <c r="E55" s="9">
        <v>54605.0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ht="15.75" customHeight="1">
      <c r="A56" s="6" t="s">
        <v>595</v>
      </c>
      <c r="B56" s="11" t="s">
        <v>629</v>
      </c>
      <c r="C56" s="8" t="s">
        <v>605</v>
      </c>
      <c r="D56" s="12" t="s">
        <v>606</v>
      </c>
      <c r="E56" s="9">
        <v>313709.0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ht="15.75" customHeight="1">
      <c r="A57" s="6" t="s">
        <v>595</v>
      </c>
      <c r="B57" s="11" t="s">
        <v>629</v>
      </c>
      <c r="C57" s="8" t="s">
        <v>602</v>
      </c>
      <c r="D57" s="12" t="s">
        <v>627</v>
      </c>
      <c r="E57" s="9">
        <v>83927.0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ht="15.75" customHeight="1">
      <c r="A58" s="6" t="s">
        <v>595</v>
      </c>
      <c r="B58" s="11" t="s">
        <v>630</v>
      </c>
      <c r="C58" s="8" t="s">
        <v>597</v>
      </c>
      <c r="D58" s="12" t="s">
        <v>623</v>
      </c>
      <c r="E58" s="9">
        <v>119429.0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r="59" ht="15.75" customHeight="1">
      <c r="A59" s="6" t="s">
        <v>595</v>
      </c>
      <c r="B59" s="10">
        <v>44256.0</v>
      </c>
      <c r="C59" s="8" t="s">
        <v>597</v>
      </c>
      <c r="D59" s="8" t="s">
        <v>598</v>
      </c>
      <c r="E59" s="9">
        <v>105905.0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ht="15.75" customHeight="1">
      <c r="A60" s="6" t="s">
        <v>595</v>
      </c>
      <c r="B60" s="10">
        <v>44287.0</v>
      </c>
      <c r="C60" s="8" t="s">
        <v>597</v>
      </c>
      <c r="D60" s="8" t="s">
        <v>631</v>
      </c>
      <c r="E60" s="9">
        <v>128158.0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ht="15.75" customHeight="1">
      <c r="A61" s="6" t="s">
        <v>595</v>
      </c>
      <c r="B61" s="10">
        <v>44287.0</v>
      </c>
      <c r="C61" s="8" t="s">
        <v>597</v>
      </c>
      <c r="D61" s="8" t="s">
        <v>632</v>
      </c>
      <c r="E61" s="9">
        <v>127029.0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ht="15.75" customHeight="1">
      <c r="A62" s="6" t="s">
        <v>595</v>
      </c>
      <c r="B62" s="10">
        <v>44317.0</v>
      </c>
      <c r="C62" s="8" t="s">
        <v>605</v>
      </c>
      <c r="D62" s="8" t="s">
        <v>633</v>
      </c>
      <c r="E62" s="9">
        <v>204236.0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ht="15.75" customHeight="1">
      <c r="A63" s="6" t="s">
        <v>595</v>
      </c>
      <c r="B63" s="10">
        <v>44317.0</v>
      </c>
      <c r="C63" s="8" t="s">
        <v>605</v>
      </c>
      <c r="D63" s="8" t="s">
        <v>634</v>
      </c>
      <c r="E63" s="9">
        <v>24791.0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ht="15.75" customHeight="1">
      <c r="A64" s="6" t="s">
        <v>595</v>
      </c>
      <c r="B64" s="10">
        <v>44256.0</v>
      </c>
      <c r="C64" s="8" t="s">
        <v>608</v>
      </c>
      <c r="D64" s="8" t="s">
        <v>626</v>
      </c>
      <c r="E64" s="9">
        <v>164516.0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ht="15.75" customHeight="1">
      <c r="A65" s="6" t="s">
        <v>595</v>
      </c>
      <c r="B65" s="10">
        <v>44256.0</v>
      </c>
      <c r="C65" s="8" t="s">
        <v>608</v>
      </c>
      <c r="D65" s="8" t="s">
        <v>635</v>
      </c>
      <c r="E65" s="9">
        <v>159288.0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ht="15.75" customHeight="1">
      <c r="A66" s="6" t="s">
        <v>595</v>
      </c>
      <c r="B66" s="10">
        <v>44287.0</v>
      </c>
      <c r="C66" s="8" t="s">
        <v>608</v>
      </c>
      <c r="D66" s="8" t="s">
        <v>636</v>
      </c>
      <c r="E66" s="9">
        <v>214573.0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ht="15.75" customHeight="1">
      <c r="A67" s="6" t="s">
        <v>595</v>
      </c>
      <c r="B67" s="10">
        <v>44287.0</v>
      </c>
      <c r="C67" s="8" t="s">
        <v>608</v>
      </c>
      <c r="D67" s="8" t="s">
        <v>624</v>
      </c>
      <c r="E67" s="9">
        <v>173187.0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ht="15.75" customHeight="1">
      <c r="A68" s="6" t="s">
        <v>595</v>
      </c>
      <c r="B68" s="10">
        <v>44256.0</v>
      </c>
      <c r="C68" s="8" t="s">
        <v>605</v>
      </c>
      <c r="D68" s="8" t="s">
        <v>613</v>
      </c>
      <c r="E68" s="9">
        <v>341929.0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ht="15.75" customHeight="1">
      <c r="A69" s="6" t="s">
        <v>595</v>
      </c>
      <c r="B69" s="10">
        <v>44287.0</v>
      </c>
      <c r="C69" s="8" t="s">
        <v>605</v>
      </c>
      <c r="D69" s="8" t="s">
        <v>613</v>
      </c>
      <c r="E69" s="9">
        <v>256046.0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r="70" ht="15.75" customHeight="1">
      <c r="A70" s="6" t="s">
        <v>595</v>
      </c>
      <c r="B70" s="10">
        <v>44348.0</v>
      </c>
      <c r="C70" s="8" t="s">
        <v>597</v>
      </c>
      <c r="D70" s="8" t="s">
        <v>599</v>
      </c>
      <c r="E70" s="9">
        <v>99652.0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ht="15.75" customHeight="1">
      <c r="A71" s="6" t="s">
        <v>595</v>
      </c>
      <c r="B71" s="10">
        <v>44348.0</v>
      </c>
      <c r="C71" s="8" t="s">
        <v>597</v>
      </c>
      <c r="D71" s="8" t="s">
        <v>631</v>
      </c>
      <c r="E71" s="9">
        <v>87316.0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r="72" ht="15.75" customHeight="1">
      <c r="A72" s="6" t="s">
        <v>595</v>
      </c>
      <c r="B72" s="10">
        <v>44317.0</v>
      </c>
      <c r="C72" s="8" t="s">
        <v>597</v>
      </c>
      <c r="D72" s="8" t="s">
        <v>632</v>
      </c>
      <c r="E72" s="9">
        <v>89225.0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r="73" ht="15.75" customHeight="1">
      <c r="A73" s="6" t="s">
        <v>595</v>
      </c>
      <c r="B73" s="10">
        <v>44317.0</v>
      </c>
      <c r="C73" s="8" t="s">
        <v>597</v>
      </c>
      <c r="D73" s="8" t="s">
        <v>599</v>
      </c>
      <c r="E73" s="9">
        <v>87948.0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r="74" ht="15.75" customHeight="1">
      <c r="A74" s="6" t="s">
        <v>595</v>
      </c>
      <c r="B74" s="10">
        <v>44317.0</v>
      </c>
      <c r="C74" s="8" t="s">
        <v>608</v>
      </c>
      <c r="D74" s="8" t="s">
        <v>636</v>
      </c>
      <c r="E74" s="9">
        <v>140891.0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ht="15.75" customHeight="1">
      <c r="A75" s="6" t="s">
        <v>595</v>
      </c>
      <c r="B75" s="10">
        <v>44317.0</v>
      </c>
      <c r="C75" s="8" t="s">
        <v>608</v>
      </c>
      <c r="D75" s="8" t="s">
        <v>637</v>
      </c>
      <c r="E75" s="9">
        <v>139375.0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r="76" ht="15.75" customHeight="1">
      <c r="A76" s="6" t="s">
        <v>595</v>
      </c>
      <c r="B76" s="10">
        <v>44317.0</v>
      </c>
      <c r="C76" s="8" t="s">
        <v>608</v>
      </c>
      <c r="D76" s="8" t="s">
        <v>624</v>
      </c>
      <c r="E76" s="9">
        <v>122347.0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r="77" ht="15.75" customHeight="1">
      <c r="A77" s="6" t="s">
        <v>595</v>
      </c>
      <c r="B77" s="10">
        <v>44317.0</v>
      </c>
      <c r="C77" s="8" t="s">
        <v>608</v>
      </c>
      <c r="D77" s="8" t="s">
        <v>609</v>
      </c>
      <c r="E77" s="9">
        <v>103663.0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ht="15.75" customHeight="1">
      <c r="A78" s="6" t="s">
        <v>595</v>
      </c>
      <c r="B78" s="10">
        <v>44317.0</v>
      </c>
      <c r="C78" s="8" t="s">
        <v>608</v>
      </c>
      <c r="D78" s="8" t="s">
        <v>610</v>
      </c>
      <c r="E78" s="9">
        <v>97665.0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ht="15.75" customHeight="1">
      <c r="A79" s="6" t="s">
        <v>595</v>
      </c>
      <c r="B79" s="10">
        <v>44317.0</v>
      </c>
      <c r="C79" s="8" t="s">
        <v>608</v>
      </c>
      <c r="D79" s="8" t="s">
        <v>635</v>
      </c>
      <c r="E79" s="9">
        <v>94435.0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ht="15.75" customHeight="1">
      <c r="A80" s="6" t="s">
        <v>595</v>
      </c>
      <c r="B80" s="10">
        <v>44348.0</v>
      </c>
      <c r="C80" s="8" t="s">
        <v>608</v>
      </c>
      <c r="D80" s="8" t="s">
        <v>636</v>
      </c>
      <c r="E80" s="9">
        <v>157649.0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ht="15.75" customHeight="1">
      <c r="A81" s="6" t="s">
        <v>595</v>
      </c>
      <c r="B81" s="10">
        <v>44348.0</v>
      </c>
      <c r="C81" s="8" t="s">
        <v>608</v>
      </c>
      <c r="D81" s="8" t="s">
        <v>637</v>
      </c>
      <c r="E81" s="9">
        <v>155092.0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ht="15.75" customHeight="1">
      <c r="A82" s="6" t="s">
        <v>595</v>
      </c>
      <c r="B82" s="10">
        <v>44348.0</v>
      </c>
      <c r="C82" s="8" t="s">
        <v>597</v>
      </c>
      <c r="D82" s="8" t="s">
        <v>600</v>
      </c>
      <c r="E82" s="9">
        <v>60401.0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ht="15.75" customHeight="1">
      <c r="A83" s="6" t="s">
        <v>595</v>
      </c>
      <c r="B83" s="10">
        <v>44197.0</v>
      </c>
      <c r="C83" s="8" t="s">
        <v>602</v>
      </c>
      <c r="D83" s="8" t="s">
        <v>615</v>
      </c>
      <c r="E83" s="9">
        <v>126333.0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ht="15.75" customHeight="1">
      <c r="A84" s="6" t="s">
        <v>595</v>
      </c>
      <c r="B84" s="10">
        <v>44197.0</v>
      </c>
      <c r="C84" s="8" t="s">
        <v>602</v>
      </c>
      <c r="D84" s="8" t="s">
        <v>614</v>
      </c>
      <c r="E84" s="9">
        <v>124817.0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ht="15.75" customHeight="1">
      <c r="A85" s="6" t="s">
        <v>595</v>
      </c>
      <c r="B85" s="10">
        <v>44378.0</v>
      </c>
      <c r="C85" s="8" t="s">
        <v>602</v>
      </c>
      <c r="D85" s="8" t="s">
        <v>604</v>
      </c>
      <c r="E85" s="9">
        <v>39070.0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ht="15.75" customHeight="1">
      <c r="A86" s="6" t="s">
        <v>595</v>
      </c>
      <c r="B86" s="7" t="s">
        <v>596</v>
      </c>
      <c r="C86" s="8" t="s">
        <v>608</v>
      </c>
      <c r="D86" s="8" t="s">
        <v>626</v>
      </c>
      <c r="E86" s="9">
        <v>5787.0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ht="15.75" customHeight="1">
      <c r="A87" s="6" t="s">
        <v>595</v>
      </c>
      <c r="B87" s="7" t="s">
        <v>596</v>
      </c>
      <c r="C87" s="8" t="s">
        <v>608</v>
      </c>
      <c r="D87" s="8" t="s">
        <v>637</v>
      </c>
      <c r="E87" s="9">
        <v>4909.0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ht="15.75" customHeight="1">
      <c r="A88" s="6" t="s">
        <v>595</v>
      </c>
      <c r="B88" s="10">
        <v>44378.0</v>
      </c>
      <c r="C88" s="8" t="s">
        <v>602</v>
      </c>
      <c r="D88" s="8" t="s">
        <v>617</v>
      </c>
      <c r="E88" s="9">
        <v>91953.0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ht="15.75" customHeight="1">
      <c r="A89" s="6" t="s">
        <v>595</v>
      </c>
      <c r="B89" s="10">
        <v>44378.0</v>
      </c>
      <c r="C89" s="8" t="s">
        <v>602</v>
      </c>
      <c r="D89" s="8" t="s">
        <v>615</v>
      </c>
      <c r="E89" s="9">
        <v>81956.0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r="90" ht="15.75" customHeight="1">
      <c r="A90" s="6" t="s">
        <v>595</v>
      </c>
      <c r="B90" s="7" t="s">
        <v>601</v>
      </c>
      <c r="C90" s="8" t="s">
        <v>597</v>
      </c>
      <c r="D90" s="8" t="s">
        <v>638</v>
      </c>
      <c r="E90" s="9">
        <v>8323.0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ht="15.75" customHeight="1">
      <c r="A91" s="6" t="s">
        <v>595</v>
      </c>
      <c r="B91" s="10">
        <v>44378.0</v>
      </c>
      <c r="C91" s="8" t="s">
        <v>602</v>
      </c>
      <c r="D91" s="8" t="s">
        <v>611</v>
      </c>
      <c r="E91" s="9">
        <v>64067.0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ht="15.75" customHeight="1">
      <c r="A92" s="6" t="s">
        <v>595</v>
      </c>
      <c r="B92" s="10">
        <v>44197.0</v>
      </c>
      <c r="C92" s="8" t="s">
        <v>602</v>
      </c>
      <c r="D92" s="8" t="s">
        <v>625</v>
      </c>
      <c r="E92" s="9">
        <v>129588.0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r="93" ht="15.75" customHeight="1">
      <c r="A93" s="6" t="s">
        <v>595</v>
      </c>
      <c r="B93" s="7" t="s">
        <v>601</v>
      </c>
      <c r="C93" s="8" t="s">
        <v>597</v>
      </c>
      <c r="D93" s="8" t="s">
        <v>621</v>
      </c>
      <c r="E93" s="9">
        <v>7157.0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r="94" ht="15.75" customHeight="1">
      <c r="A94" s="6" t="s">
        <v>595</v>
      </c>
      <c r="B94" s="7" t="s">
        <v>601</v>
      </c>
      <c r="C94" s="8" t="s">
        <v>597</v>
      </c>
      <c r="D94" s="8" t="s">
        <v>631</v>
      </c>
      <c r="E94" s="9">
        <v>6518.0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r="95" ht="15.75" customHeight="1">
      <c r="A95" s="6" t="s">
        <v>595</v>
      </c>
      <c r="B95" s="7" t="s">
        <v>601</v>
      </c>
      <c r="C95" s="8" t="s">
        <v>608</v>
      </c>
      <c r="D95" s="8" t="s">
        <v>636</v>
      </c>
      <c r="E95" s="9">
        <v>13616.0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r="96" ht="15.75" customHeight="1">
      <c r="A96" s="6" t="s">
        <v>595</v>
      </c>
      <c r="B96" s="7" t="s">
        <v>601</v>
      </c>
      <c r="C96" s="8" t="s">
        <v>608</v>
      </c>
      <c r="D96" s="8" t="s">
        <v>610</v>
      </c>
      <c r="E96" s="9">
        <v>12089.0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r="97" ht="15.75" customHeight="1">
      <c r="A97" s="6" t="s">
        <v>595</v>
      </c>
      <c r="B97" s="10">
        <v>44197.0</v>
      </c>
      <c r="C97" s="8" t="s">
        <v>605</v>
      </c>
      <c r="D97" s="8" t="s">
        <v>619</v>
      </c>
      <c r="E97" s="9">
        <v>24333.0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r="98" ht="15.75" customHeight="1">
      <c r="A98" s="6" t="s">
        <v>595</v>
      </c>
      <c r="B98" s="10">
        <v>44287.0</v>
      </c>
      <c r="C98" s="8" t="s">
        <v>597</v>
      </c>
      <c r="D98" s="8" t="s">
        <v>638</v>
      </c>
      <c r="E98" s="9">
        <v>103818.0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ht="15.75" customHeight="1">
      <c r="A99" s="6" t="s">
        <v>595</v>
      </c>
      <c r="B99" s="10">
        <v>44287.0</v>
      </c>
      <c r="C99" s="8" t="s">
        <v>605</v>
      </c>
      <c r="D99" s="8" t="s">
        <v>639</v>
      </c>
      <c r="E99" s="9">
        <v>28.0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ht="15.75" customHeight="1">
      <c r="A100" s="6" t="s">
        <v>595</v>
      </c>
      <c r="B100" s="10">
        <v>44197.0</v>
      </c>
      <c r="C100" s="8" t="s">
        <v>602</v>
      </c>
      <c r="D100" s="8" t="s">
        <v>616</v>
      </c>
      <c r="E100" s="9">
        <v>119170.0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ht="15.75" customHeight="1">
      <c r="A101" s="6" t="s">
        <v>595</v>
      </c>
      <c r="B101" s="10">
        <v>44197.0</v>
      </c>
      <c r="C101" s="8" t="s">
        <v>602</v>
      </c>
      <c r="D101" s="8" t="s">
        <v>617</v>
      </c>
      <c r="E101" s="9">
        <v>116920.0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ht="15.75" customHeight="1">
      <c r="A102" s="6" t="s">
        <v>595</v>
      </c>
      <c r="B102" s="10">
        <v>44197.0</v>
      </c>
      <c r="C102" s="8" t="s">
        <v>602</v>
      </c>
      <c r="D102" s="8" t="s">
        <v>612</v>
      </c>
      <c r="E102" s="9">
        <v>87937.0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ht="15.75" customHeight="1">
      <c r="A103" s="6" t="s">
        <v>595</v>
      </c>
      <c r="B103" s="10">
        <v>44197.0</v>
      </c>
      <c r="C103" s="8" t="s">
        <v>602</v>
      </c>
      <c r="D103" s="8" t="s">
        <v>627</v>
      </c>
      <c r="E103" s="9">
        <v>80056.0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ht="15.75" customHeight="1">
      <c r="A104" s="6" t="s">
        <v>595</v>
      </c>
      <c r="B104" s="7" t="s">
        <v>596</v>
      </c>
      <c r="C104" s="8" t="s">
        <v>605</v>
      </c>
      <c r="D104" s="8" t="s">
        <v>634</v>
      </c>
      <c r="E104" s="9">
        <v>881.0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ht="15.75" customHeight="1">
      <c r="A105" s="6" t="s">
        <v>595</v>
      </c>
      <c r="B105" s="7" t="s">
        <v>596</v>
      </c>
      <c r="C105" s="8" t="s">
        <v>597</v>
      </c>
      <c r="D105" s="8" t="s">
        <v>621</v>
      </c>
      <c r="E105" s="9">
        <v>5264.0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ht="15.75" customHeight="1">
      <c r="A106" s="6" t="s">
        <v>595</v>
      </c>
      <c r="B106" s="10">
        <v>44256.0</v>
      </c>
      <c r="C106" s="8" t="s">
        <v>597</v>
      </c>
      <c r="D106" s="8" t="s">
        <v>600</v>
      </c>
      <c r="E106" s="9">
        <v>85642.0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ht="15.75" customHeight="1">
      <c r="A107" s="6" t="s">
        <v>595</v>
      </c>
      <c r="B107" s="10">
        <v>44287.0</v>
      </c>
      <c r="C107" s="8" t="s">
        <v>597</v>
      </c>
      <c r="D107" s="8" t="s">
        <v>600</v>
      </c>
      <c r="E107" s="9">
        <v>89874.0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r="108" ht="15.75" customHeight="1">
      <c r="A108" s="6" t="s">
        <v>595</v>
      </c>
      <c r="B108" s="7" t="s">
        <v>596</v>
      </c>
      <c r="C108" s="8" t="s">
        <v>608</v>
      </c>
      <c r="D108" s="8" t="s">
        <v>609</v>
      </c>
      <c r="E108" s="9">
        <v>9302.0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r="109" ht="15.75" customHeight="1">
      <c r="A109" s="6" t="s">
        <v>595</v>
      </c>
      <c r="B109" s="7" t="s">
        <v>596</v>
      </c>
      <c r="C109" s="8" t="s">
        <v>608</v>
      </c>
      <c r="D109" s="8" t="s">
        <v>610</v>
      </c>
      <c r="E109" s="9">
        <v>7863.0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r="110" ht="15.75" customHeight="1">
      <c r="A110" s="6" t="s">
        <v>595</v>
      </c>
      <c r="B110" s="10">
        <v>44197.0</v>
      </c>
      <c r="C110" s="8" t="s">
        <v>605</v>
      </c>
      <c r="D110" s="8" t="s">
        <v>633</v>
      </c>
      <c r="E110" s="9">
        <v>92292.0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r="111" ht="15.75" customHeight="1">
      <c r="A111" s="6" t="s">
        <v>595</v>
      </c>
      <c r="B111" s="10">
        <v>44197.0</v>
      </c>
      <c r="C111" s="8" t="s">
        <v>605</v>
      </c>
      <c r="D111" s="8" t="s">
        <v>634</v>
      </c>
      <c r="E111" s="9">
        <v>12347.0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r="112" ht="15.75" customHeight="1">
      <c r="A112" s="6" t="s">
        <v>595</v>
      </c>
      <c r="B112" s="7" t="s">
        <v>596</v>
      </c>
      <c r="C112" s="8" t="s">
        <v>602</v>
      </c>
      <c r="D112" s="8" t="s">
        <v>615</v>
      </c>
      <c r="E112" s="9">
        <v>5250.0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r="113" ht="15.75" customHeight="1">
      <c r="A113" s="6" t="s">
        <v>595</v>
      </c>
      <c r="B113" s="7" t="s">
        <v>596</v>
      </c>
      <c r="C113" s="8" t="s">
        <v>602</v>
      </c>
      <c r="D113" s="8" t="s">
        <v>627</v>
      </c>
      <c r="E113" s="9">
        <v>5235.0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r="114" ht="15.75" customHeight="1">
      <c r="A114" s="6" t="s">
        <v>595</v>
      </c>
      <c r="B114" s="7" t="s">
        <v>596</v>
      </c>
      <c r="C114" s="8" t="s">
        <v>602</v>
      </c>
      <c r="D114" s="8" t="s">
        <v>614</v>
      </c>
      <c r="E114" s="9">
        <v>5234.0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r="115" ht="15.75" customHeight="1">
      <c r="A115" s="6" t="s">
        <v>595</v>
      </c>
      <c r="B115" s="7" t="s">
        <v>596</v>
      </c>
      <c r="C115" s="8" t="s">
        <v>602</v>
      </c>
      <c r="D115" s="8" t="s">
        <v>611</v>
      </c>
      <c r="E115" s="9">
        <v>5219.0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r="116" ht="15.75" customHeight="1">
      <c r="A116" s="6" t="s">
        <v>595</v>
      </c>
      <c r="B116" s="10">
        <v>44348.0</v>
      </c>
      <c r="C116" s="8" t="s">
        <v>605</v>
      </c>
      <c r="D116" s="8" t="s">
        <v>607</v>
      </c>
      <c r="E116" s="9">
        <v>74348.0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r="117" ht="15.75" customHeight="1">
      <c r="A117" s="6" t="s">
        <v>595</v>
      </c>
      <c r="B117" s="10">
        <v>44228.0</v>
      </c>
      <c r="C117" s="8" t="s">
        <v>602</v>
      </c>
      <c r="D117" s="8" t="s">
        <v>625</v>
      </c>
      <c r="E117" s="9">
        <v>331231.0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r="118" ht="15.75" customHeight="1">
      <c r="A118" s="6" t="s">
        <v>595</v>
      </c>
      <c r="B118" s="10">
        <v>44378.0</v>
      </c>
      <c r="C118" s="8" t="s">
        <v>602</v>
      </c>
      <c r="D118" s="8" t="s">
        <v>603</v>
      </c>
      <c r="E118" s="9">
        <v>88904.0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r="119" ht="15.75" customHeight="1">
      <c r="A119" s="6" t="s">
        <v>595</v>
      </c>
      <c r="B119" s="10">
        <v>44197.0</v>
      </c>
      <c r="C119" s="8" t="s">
        <v>608</v>
      </c>
      <c r="D119" s="8" t="s">
        <v>637</v>
      </c>
      <c r="E119" s="13">
        <v>198373.0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r="120" ht="15.75" customHeight="1">
      <c r="A120" s="6" t="s">
        <v>595</v>
      </c>
      <c r="B120" s="10">
        <v>44197.0</v>
      </c>
      <c r="C120" s="8" t="s">
        <v>608</v>
      </c>
      <c r="D120" s="8" t="s">
        <v>636</v>
      </c>
      <c r="E120" s="13">
        <v>175594.0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r="121" ht="15.75" customHeight="1">
      <c r="A121" s="6" t="s">
        <v>595</v>
      </c>
      <c r="B121" s="10">
        <v>44197.0</v>
      </c>
      <c r="C121" s="8" t="s">
        <v>608</v>
      </c>
      <c r="D121" s="8" t="s">
        <v>610</v>
      </c>
      <c r="E121" s="13">
        <v>104383.0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r="122" ht="15.75" customHeight="1">
      <c r="A122" s="6" t="s">
        <v>595</v>
      </c>
      <c r="B122" s="10">
        <v>44197.0</v>
      </c>
      <c r="C122" s="8" t="s">
        <v>608</v>
      </c>
      <c r="D122" s="8" t="s">
        <v>635</v>
      </c>
      <c r="E122" s="13">
        <v>101552.0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r="123" ht="15.75" customHeight="1">
      <c r="A123" s="6" t="s">
        <v>595</v>
      </c>
      <c r="B123" s="10">
        <v>44378.0</v>
      </c>
      <c r="C123" s="8" t="s">
        <v>597</v>
      </c>
      <c r="D123" s="8" t="s">
        <v>600</v>
      </c>
      <c r="E123" s="9">
        <v>45474.0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r="124" ht="15.75" customHeight="1">
      <c r="A124" s="6" t="s">
        <v>595</v>
      </c>
      <c r="B124" s="10">
        <v>44197.0</v>
      </c>
      <c r="C124" s="8" t="s">
        <v>597</v>
      </c>
      <c r="D124" s="8" t="s">
        <v>618</v>
      </c>
      <c r="E124" s="9">
        <v>107994.0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r="125" ht="15.75" customHeight="1">
      <c r="A125" s="6" t="s">
        <v>595</v>
      </c>
      <c r="B125" s="10">
        <v>44197.0</v>
      </c>
      <c r="C125" s="8" t="s">
        <v>597</v>
      </c>
      <c r="D125" s="8" t="s">
        <v>623</v>
      </c>
      <c r="E125" s="9">
        <v>90405.0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r="126" ht="15.75" customHeight="1">
      <c r="A126" s="6" t="s">
        <v>595</v>
      </c>
      <c r="B126" s="10">
        <v>44228.0</v>
      </c>
      <c r="C126" s="8" t="s">
        <v>597</v>
      </c>
      <c r="D126" s="8" t="s">
        <v>622</v>
      </c>
      <c r="E126" s="9">
        <v>286777.0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r="127" ht="15.75" customHeight="1">
      <c r="A127" s="6" t="s">
        <v>595</v>
      </c>
      <c r="B127" s="10">
        <v>44228.0</v>
      </c>
      <c r="C127" s="8" t="s">
        <v>597</v>
      </c>
      <c r="D127" s="8" t="s">
        <v>618</v>
      </c>
      <c r="E127" s="9">
        <v>279521.0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r="128" ht="15.75" customHeight="1">
      <c r="A128" s="6" t="s">
        <v>595</v>
      </c>
      <c r="B128" s="7" t="s">
        <v>601</v>
      </c>
      <c r="C128" s="8" t="s">
        <v>597</v>
      </c>
      <c r="D128" s="8" t="s">
        <v>599</v>
      </c>
      <c r="E128" s="9">
        <v>7439.0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r="129" ht="15.75" customHeight="1">
      <c r="A129" s="6" t="s">
        <v>595</v>
      </c>
      <c r="B129" s="7" t="s">
        <v>601</v>
      </c>
      <c r="C129" s="8" t="s">
        <v>597</v>
      </c>
      <c r="D129" s="8" t="s">
        <v>622</v>
      </c>
      <c r="E129" s="9">
        <v>7360.0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r="130" ht="15.75" customHeight="1">
      <c r="A130" s="6" t="s">
        <v>595</v>
      </c>
      <c r="B130" s="10">
        <v>44197.0</v>
      </c>
      <c r="C130" s="8" t="s">
        <v>597</v>
      </c>
      <c r="D130" s="8" t="s">
        <v>638</v>
      </c>
      <c r="E130" s="9">
        <v>92144.0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r="131" ht="15.75" customHeight="1">
      <c r="A131" s="6" t="s">
        <v>595</v>
      </c>
      <c r="B131" s="10">
        <v>44197.0</v>
      </c>
      <c r="C131" s="8" t="s">
        <v>605</v>
      </c>
      <c r="D131" s="8" t="s">
        <v>639</v>
      </c>
      <c r="E131" s="9">
        <v>1285.0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r="132" ht="15.75" customHeight="1">
      <c r="A132" s="6" t="s">
        <v>595</v>
      </c>
      <c r="B132" s="7" t="s">
        <v>596</v>
      </c>
      <c r="C132" s="8" t="s">
        <v>608</v>
      </c>
      <c r="D132" s="8" t="s">
        <v>636</v>
      </c>
      <c r="E132" s="13">
        <v>6784.0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r="133" ht="15.75" customHeight="1">
      <c r="A133" s="6" t="s">
        <v>595</v>
      </c>
      <c r="B133" s="7" t="s">
        <v>601</v>
      </c>
      <c r="C133" s="8" t="s">
        <v>605</v>
      </c>
      <c r="D133" s="8" t="s">
        <v>639</v>
      </c>
      <c r="E133" s="13">
        <v>174.0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r="134" ht="15.75" customHeight="1">
      <c r="A134" s="6" t="s">
        <v>595</v>
      </c>
      <c r="B134" s="7" t="s">
        <v>601</v>
      </c>
      <c r="C134" s="8" t="s">
        <v>597</v>
      </c>
      <c r="D134" s="8" t="s">
        <v>632</v>
      </c>
      <c r="E134" s="13">
        <v>6267.0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r="135" ht="15.75" customHeight="1">
      <c r="A135" s="6" t="s">
        <v>595</v>
      </c>
      <c r="B135" s="7" t="s">
        <v>601</v>
      </c>
      <c r="C135" s="8" t="s">
        <v>597</v>
      </c>
      <c r="D135" s="8" t="s">
        <v>623</v>
      </c>
      <c r="E135" s="13">
        <v>4894.0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r="136" ht="15.75" customHeight="1">
      <c r="A136" s="6" t="s">
        <v>595</v>
      </c>
      <c r="B136" s="10">
        <v>44378.0</v>
      </c>
      <c r="C136" s="8" t="s">
        <v>597</v>
      </c>
      <c r="D136" s="8" t="s">
        <v>599</v>
      </c>
      <c r="E136" s="13">
        <v>90600.0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r="137" ht="15.75" customHeight="1">
      <c r="A137" s="6" t="s">
        <v>595</v>
      </c>
      <c r="B137" s="10">
        <v>44378.0</v>
      </c>
      <c r="C137" s="8" t="s">
        <v>605</v>
      </c>
      <c r="D137" s="8" t="s">
        <v>634</v>
      </c>
      <c r="E137" s="13">
        <v>24920.0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r="138" ht="15.75" customHeight="1">
      <c r="A138" s="6" t="s">
        <v>595</v>
      </c>
      <c r="B138" s="10">
        <v>44197.0</v>
      </c>
      <c r="C138" s="8" t="s">
        <v>608</v>
      </c>
      <c r="D138" s="8" t="s">
        <v>609</v>
      </c>
      <c r="E138" s="13">
        <v>128002.0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r="139" ht="15.75" customHeight="1">
      <c r="A139" s="6" t="s">
        <v>595</v>
      </c>
      <c r="B139" s="10">
        <v>44197.0</v>
      </c>
      <c r="C139" s="8" t="s">
        <v>608</v>
      </c>
      <c r="D139" s="8" t="s">
        <v>626</v>
      </c>
      <c r="E139" s="13">
        <v>125345.0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r="140" ht="15.75" customHeight="1">
      <c r="A140" s="6" t="s">
        <v>595</v>
      </c>
      <c r="B140" s="7" t="s">
        <v>596</v>
      </c>
      <c r="C140" s="8" t="s">
        <v>597</v>
      </c>
      <c r="D140" s="8" t="s">
        <v>638</v>
      </c>
      <c r="E140" s="13">
        <v>5255.0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r="141" ht="15.75" customHeight="1">
      <c r="A141" s="6" t="s">
        <v>595</v>
      </c>
      <c r="B141" s="7" t="s">
        <v>596</v>
      </c>
      <c r="C141" s="8" t="s">
        <v>605</v>
      </c>
      <c r="D141" s="8" t="s">
        <v>639</v>
      </c>
      <c r="E141" s="9">
        <v>122.0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r="142" ht="15.75" customHeight="1">
      <c r="A142" s="6" t="s">
        <v>595</v>
      </c>
      <c r="B142" s="10">
        <v>44256.0</v>
      </c>
      <c r="C142" s="8" t="s">
        <v>605</v>
      </c>
      <c r="D142" s="8" t="s">
        <v>620</v>
      </c>
      <c r="E142" s="9">
        <v>358478.0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r="143" ht="15.75" customHeight="1">
      <c r="A143" s="6" t="s">
        <v>595</v>
      </c>
      <c r="B143" s="10">
        <v>44317.0</v>
      </c>
      <c r="C143" s="8" t="s">
        <v>602</v>
      </c>
      <c r="D143" s="8" t="s">
        <v>627</v>
      </c>
      <c r="E143" s="9">
        <v>56192.0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r="144" ht="15.75" customHeight="1">
      <c r="A144" s="6" t="s">
        <v>595</v>
      </c>
      <c r="B144" s="10">
        <v>44317.0</v>
      </c>
      <c r="C144" s="8" t="s">
        <v>605</v>
      </c>
      <c r="D144" s="8" t="s">
        <v>613</v>
      </c>
      <c r="E144" s="9">
        <v>170010.0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r="145" ht="15.75" customHeight="1">
      <c r="A145" s="6" t="s">
        <v>595</v>
      </c>
      <c r="B145" s="10">
        <v>44256.0</v>
      </c>
      <c r="C145" s="8" t="s">
        <v>605</v>
      </c>
      <c r="D145" s="8" t="s">
        <v>633</v>
      </c>
      <c r="E145" s="9">
        <v>218232.0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r="146" ht="15.75" customHeight="1">
      <c r="A146" s="6" t="s">
        <v>595</v>
      </c>
      <c r="B146" s="10">
        <v>44256.0</v>
      </c>
      <c r="C146" s="8" t="s">
        <v>605</v>
      </c>
      <c r="D146" s="8" t="s">
        <v>634</v>
      </c>
      <c r="E146" s="13">
        <v>26540.0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r="147" ht="15.75" customHeight="1">
      <c r="A147" s="6" t="s">
        <v>595</v>
      </c>
      <c r="B147" s="10">
        <v>44228.0</v>
      </c>
      <c r="C147" s="8" t="s">
        <v>597</v>
      </c>
      <c r="D147" s="8" t="s">
        <v>631</v>
      </c>
      <c r="E147" s="9">
        <v>264448.0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r="148" ht="15.75" customHeight="1">
      <c r="A148" s="6" t="s">
        <v>595</v>
      </c>
      <c r="B148" s="10">
        <v>44228.0</v>
      </c>
      <c r="C148" s="8" t="s">
        <v>597</v>
      </c>
      <c r="D148" s="8" t="s">
        <v>623</v>
      </c>
      <c r="E148" s="9">
        <v>170235.0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r="149" ht="15.75" customHeight="1">
      <c r="A149" s="6" t="s">
        <v>595</v>
      </c>
      <c r="B149" s="10">
        <v>44197.0</v>
      </c>
      <c r="C149" s="8" t="s">
        <v>605</v>
      </c>
      <c r="D149" s="8" t="s">
        <v>607</v>
      </c>
      <c r="E149" s="9">
        <v>39030.0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r="150" ht="15.75" customHeight="1">
      <c r="A150" s="6" t="s">
        <v>595</v>
      </c>
      <c r="B150" s="10">
        <v>44228.0</v>
      </c>
      <c r="C150" s="8" t="s">
        <v>602</v>
      </c>
      <c r="D150" s="8" t="s">
        <v>627</v>
      </c>
      <c r="E150" s="9">
        <v>126141.0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r="151" ht="15.75" customHeight="1">
      <c r="A151" s="6" t="s">
        <v>595</v>
      </c>
      <c r="B151" s="10">
        <v>44228.0</v>
      </c>
      <c r="C151" s="8" t="s">
        <v>597</v>
      </c>
      <c r="D151" s="8" t="s">
        <v>632</v>
      </c>
      <c r="E151" s="9">
        <v>317389.0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r="152" ht="15.75" customHeight="1">
      <c r="A152" s="6" t="s">
        <v>595</v>
      </c>
      <c r="B152" s="10">
        <v>44378.0</v>
      </c>
      <c r="C152" s="8" t="s">
        <v>608</v>
      </c>
      <c r="D152" s="8" t="s">
        <v>624</v>
      </c>
      <c r="E152" s="9">
        <v>127317.0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r="153" ht="15.75" customHeight="1">
      <c r="A153" s="6" t="s">
        <v>595</v>
      </c>
      <c r="B153" s="10">
        <v>44378.0</v>
      </c>
      <c r="C153" s="8" t="s">
        <v>608</v>
      </c>
      <c r="D153" s="8" t="s">
        <v>610</v>
      </c>
      <c r="E153" s="9">
        <v>104044.0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r="154" ht="15.75" customHeight="1">
      <c r="A154" s="6" t="s">
        <v>595</v>
      </c>
      <c r="B154" s="10">
        <v>44378.0</v>
      </c>
      <c r="C154" s="8" t="s">
        <v>608</v>
      </c>
      <c r="D154" s="8" t="s">
        <v>637</v>
      </c>
      <c r="E154" s="9">
        <v>118791.0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r="155" ht="15.75" customHeight="1">
      <c r="A155" s="6" t="s">
        <v>595</v>
      </c>
      <c r="B155" s="7" t="s">
        <v>601</v>
      </c>
      <c r="C155" s="8" t="s">
        <v>605</v>
      </c>
      <c r="D155" s="8" t="s">
        <v>613</v>
      </c>
      <c r="E155" s="9">
        <v>8853.0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r="156" ht="15.75" customHeight="1">
      <c r="A156" s="6" t="s">
        <v>595</v>
      </c>
      <c r="B156" s="10">
        <v>44228.0</v>
      </c>
      <c r="C156" s="8" t="s">
        <v>602</v>
      </c>
      <c r="D156" s="8" t="s">
        <v>604</v>
      </c>
      <c r="E156" s="9">
        <v>108084.0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r="157" ht="15.75" customHeight="1">
      <c r="A157" s="6" t="s">
        <v>595</v>
      </c>
      <c r="B157" s="10">
        <v>44228.0</v>
      </c>
      <c r="C157" s="8" t="s">
        <v>605</v>
      </c>
      <c r="D157" s="8" t="s">
        <v>607</v>
      </c>
      <c r="E157" s="9">
        <v>136242.0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r="158" ht="15.75" customHeight="1">
      <c r="A158" s="6" t="s">
        <v>595</v>
      </c>
      <c r="B158" s="10">
        <v>44287.0</v>
      </c>
      <c r="C158" s="8" t="s">
        <v>608</v>
      </c>
      <c r="D158" s="8" t="s">
        <v>637</v>
      </c>
      <c r="E158" s="9">
        <v>229481.0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r="159" ht="15.75" customHeight="1">
      <c r="A159" s="6" t="s">
        <v>595</v>
      </c>
      <c r="B159" s="7" t="s">
        <v>596</v>
      </c>
      <c r="C159" s="8" t="s">
        <v>605</v>
      </c>
      <c r="D159" s="8" t="s">
        <v>620</v>
      </c>
      <c r="E159" s="9">
        <v>7639.0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r="160" ht="15.75" customHeight="1">
      <c r="A160" s="6" t="s">
        <v>595</v>
      </c>
      <c r="B160" s="10">
        <v>44317.0</v>
      </c>
      <c r="C160" s="8" t="s">
        <v>597</v>
      </c>
      <c r="D160" s="8" t="s">
        <v>638</v>
      </c>
      <c r="E160" s="9">
        <v>66076.0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r="161" ht="15.75" customHeight="1">
      <c r="A161" s="6" t="s">
        <v>595</v>
      </c>
      <c r="B161" s="10">
        <v>44317.0</v>
      </c>
      <c r="C161" s="8" t="s">
        <v>605</v>
      </c>
      <c r="D161" s="8" t="s">
        <v>639</v>
      </c>
      <c r="E161" s="9">
        <v>11.0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r="162" ht="15.75" customHeight="1">
      <c r="A162" s="6" t="s">
        <v>595</v>
      </c>
      <c r="B162" s="10">
        <v>44228.0</v>
      </c>
      <c r="C162" s="8" t="s">
        <v>597</v>
      </c>
      <c r="D162" s="8" t="s">
        <v>598</v>
      </c>
      <c r="E162" s="9">
        <v>141020.0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r="163" ht="15.75" customHeight="1">
      <c r="A163" s="6" t="s">
        <v>595</v>
      </c>
      <c r="B163" s="10">
        <v>44228.0</v>
      </c>
      <c r="C163" s="8" t="s">
        <v>605</v>
      </c>
      <c r="D163" s="8" t="s">
        <v>633</v>
      </c>
      <c r="E163" s="9">
        <v>925282.0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r="164" ht="15.75" customHeight="1">
      <c r="A164" s="6" t="s">
        <v>595</v>
      </c>
      <c r="B164" s="10">
        <v>44228.0</v>
      </c>
      <c r="C164" s="8" t="s">
        <v>605</v>
      </c>
      <c r="D164" s="8" t="s">
        <v>634</v>
      </c>
      <c r="E164" s="9">
        <v>89986.0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r="165" ht="15.75" customHeight="1">
      <c r="A165" s="6" t="s">
        <v>595</v>
      </c>
      <c r="B165" s="10">
        <v>44348.0</v>
      </c>
      <c r="C165" s="8" t="s">
        <v>608</v>
      </c>
      <c r="D165" s="8" t="s">
        <v>626</v>
      </c>
      <c r="E165" s="9">
        <v>68804.0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r="166" ht="15.75" customHeight="1">
      <c r="A166" s="6" t="s">
        <v>595</v>
      </c>
      <c r="B166" s="10">
        <v>44228.0</v>
      </c>
      <c r="C166" s="8" t="s">
        <v>605</v>
      </c>
      <c r="D166" s="8" t="s">
        <v>639</v>
      </c>
      <c r="E166" s="9">
        <v>2116.0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r="167" ht="15.75" customHeight="1">
      <c r="A167" s="6" t="s">
        <v>595</v>
      </c>
      <c r="B167" s="10">
        <v>44348.0</v>
      </c>
      <c r="C167" s="8" t="s">
        <v>602</v>
      </c>
      <c r="D167" s="8" t="s">
        <v>604</v>
      </c>
      <c r="E167" s="9">
        <v>48839.0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r="168" ht="15.75" customHeight="1">
      <c r="A168" s="6" t="s">
        <v>595</v>
      </c>
      <c r="B168" s="7" t="s">
        <v>596</v>
      </c>
      <c r="C168" s="8" t="s">
        <v>608</v>
      </c>
      <c r="D168" s="8" t="s">
        <v>635</v>
      </c>
      <c r="E168" s="13">
        <v>5993.0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r="169" ht="15.75" customHeight="1">
      <c r="A169" s="6" t="s">
        <v>595</v>
      </c>
      <c r="B169" s="10">
        <v>44197.0</v>
      </c>
      <c r="C169" s="8" t="s">
        <v>597</v>
      </c>
      <c r="D169" s="8" t="s">
        <v>599</v>
      </c>
      <c r="E169" s="13">
        <v>121651.0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r="170" ht="15.75" customHeight="1">
      <c r="A170" s="6" t="s">
        <v>595</v>
      </c>
      <c r="B170" s="7" t="s">
        <v>601</v>
      </c>
      <c r="C170" s="8" t="s">
        <v>602</v>
      </c>
      <c r="D170" s="8" t="s">
        <v>611</v>
      </c>
      <c r="E170" s="9">
        <v>4734.0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r="171" ht="15.75" customHeight="1">
      <c r="A171" s="6" t="s">
        <v>595</v>
      </c>
      <c r="B171" s="7" t="s">
        <v>601</v>
      </c>
      <c r="C171" s="8" t="s">
        <v>602</v>
      </c>
      <c r="D171" s="8" t="s">
        <v>612</v>
      </c>
      <c r="E171" s="9">
        <v>4089.0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r="172" ht="15.75" customHeight="1">
      <c r="A172" s="6" t="s">
        <v>595</v>
      </c>
      <c r="B172" s="10">
        <v>44256.0</v>
      </c>
      <c r="C172" s="8" t="s">
        <v>602</v>
      </c>
      <c r="D172" s="8" t="s">
        <v>615</v>
      </c>
      <c r="E172" s="13">
        <v>174805.0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r="173" ht="15.75" customHeight="1">
      <c r="A173" s="6" t="s">
        <v>595</v>
      </c>
      <c r="B173" s="10">
        <v>44256.0</v>
      </c>
      <c r="C173" s="8" t="s">
        <v>602</v>
      </c>
      <c r="D173" s="8" t="s">
        <v>611</v>
      </c>
      <c r="E173" s="13">
        <v>142542.0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r="174" ht="15.75" customHeight="1">
      <c r="A174" s="6" t="s">
        <v>595</v>
      </c>
      <c r="B174" s="10">
        <v>44256.0</v>
      </c>
      <c r="C174" s="8" t="s">
        <v>602</v>
      </c>
      <c r="D174" s="8" t="s">
        <v>612</v>
      </c>
      <c r="E174" s="13">
        <v>115958.0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r="175" ht="15.75" customHeight="1">
      <c r="A175" s="6" t="s">
        <v>595</v>
      </c>
      <c r="B175" s="10">
        <v>44256.0</v>
      </c>
      <c r="C175" s="8" t="s">
        <v>602</v>
      </c>
      <c r="D175" s="8" t="s">
        <v>627</v>
      </c>
      <c r="E175" s="13">
        <v>101714.0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r="176" ht="15.75" customHeight="1">
      <c r="A176" s="6" t="s">
        <v>595</v>
      </c>
      <c r="B176" s="10">
        <v>44256.0</v>
      </c>
      <c r="C176" s="8" t="s">
        <v>602</v>
      </c>
      <c r="D176" s="8" t="s">
        <v>614</v>
      </c>
      <c r="E176" s="9">
        <v>212724.0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r="177" ht="15.75" customHeight="1">
      <c r="A177" s="6" t="s">
        <v>595</v>
      </c>
      <c r="B177" s="10">
        <v>44256.0</v>
      </c>
      <c r="C177" s="8" t="s">
        <v>602</v>
      </c>
      <c r="D177" s="8" t="s">
        <v>625</v>
      </c>
      <c r="E177" s="9">
        <v>190667.0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r="178" ht="15.75" customHeight="1">
      <c r="A178" s="6" t="s">
        <v>595</v>
      </c>
      <c r="B178" s="10">
        <v>44256.0</v>
      </c>
      <c r="C178" s="8" t="s">
        <v>602</v>
      </c>
      <c r="D178" s="8" t="s">
        <v>617</v>
      </c>
      <c r="E178" s="9">
        <v>184325.0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r="179" ht="15.75" customHeight="1">
      <c r="A179" s="6" t="s">
        <v>595</v>
      </c>
      <c r="B179" s="10">
        <v>44256.0</v>
      </c>
      <c r="C179" s="8" t="s">
        <v>602</v>
      </c>
      <c r="D179" s="8" t="s">
        <v>616</v>
      </c>
      <c r="E179" s="9">
        <v>177295.0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r="180" ht="15.75" customHeight="1">
      <c r="A180" s="6" t="s">
        <v>595</v>
      </c>
      <c r="B180" s="10">
        <v>44228.0</v>
      </c>
      <c r="C180" s="8" t="s">
        <v>597</v>
      </c>
      <c r="D180" s="8" t="s">
        <v>599</v>
      </c>
      <c r="E180" s="9">
        <v>315139.0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r="181" ht="15.75" customHeight="1">
      <c r="A181" s="6" t="s">
        <v>595</v>
      </c>
      <c r="B181" s="10">
        <v>44228.0</v>
      </c>
      <c r="C181" s="8" t="s">
        <v>597</v>
      </c>
      <c r="D181" s="8" t="s">
        <v>621</v>
      </c>
      <c r="E181" s="9">
        <v>298893.0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r="182" ht="15.75" customHeight="1">
      <c r="A182" s="6" t="s">
        <v>595</v>
      </c>
      <c r="B182" s="10">
        <v>44197.0</v>
      </c>
      <c r="C182" s="8" t="s">
        <v>597</v>
      </c>
      <c r="D182" s="8" t="s">
        <v>621</v>
      </c>
      <c r="E182" s="9">
        <v>119539.0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r="183" ht="15.75" customHeight="1">
      <c r="A183" s="6" t="s">
        <v>595</v>
      </c>
      <c r="B183" s="10">
        <v>44197.0</v>
      </c>
      <c r="C183" s="8" t="s">
        <v>597</v>
      </c>
      <c r="D183" s="8" t="s">
        <v>631</v>
      </c>
      <c r="E183" s="9">
        <v>118463.0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r="184" ht="15.75" customHeight="1">
      <c r="A184" s="6" t="s">
        <v>595</v>
      </c>
      <c r="B184" s="7" t="s">
        <v>601</v>
      </c>
      <c r="C184" s="8" t="s">
        <v>602</v>
      </c>
      <c r="D184" s="8" t="s">
        <v>614</v>
      </c>
      <c r="E184" s="9">
        <v>9225.0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r="185" ht="15.75" customHeight="1">
      <c r="A185" s="6" t="s">
        <v>595</v>
      </c>
      <c r="B185" s="7" t="s">
        <v>601</v>
      </c>
      <c r="C185" s="8" t="s">
        <v>602</v>
      </c>
      <c r="D185" s="8" t="s">
        <v>616</v>
      </c>
      <c r="E185" s="9">
        <v>8284.0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r="186" ht="15.75" customHeight="1">
      <c r="A186" s="6" t="s">
        <v>595</v>
      </c>
      <c r="B186" s="7" t="s">
        <v>601</v>
      </c>
      <c r="C186" s="8" t="s">
        <v>602</v>
      </c>
      <c r="D186" s="8" t="s">
        <v>625</v>
      </c>
      <c r="E186" s="9">
        <v>8064.0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r="187" ht="15.75" customHeight="1">
      <c r="A187" s="6" t="s">
        <v>595</v>
      </c>
      <c r="B187" s="7" t="s">
        <v>601</v>
      </c>
      <c r="C187" s="8" t="s">
        <v>602</v>
      </c>
      <c r="D187" s="8" t="s">
        <v>617</v>
      </c>
      <c r="E187" s="9">
        <v>8013.0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r="188" ht="15.75" customHeight="1">
      <c r="A188" s="6" t="s">
        <v>595</v>
      </c>
      <c r="B188" s="7" t="s">
        <v>596</v>
      </c>
      <c r="C188" s="8" t="s">
        <v>608</v>
      </c>
      <c r="D188" s="8" t="s">
        <v>624</v>
      </c>
      <c r="E188" s="13">
        <v>11415.0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r="189" ht="15.75" customHeight="1">
      <c r="A189" s="6" t="s">
        <v>595</v>
      </c>
      <c r="B189" s="10">
        <v>44228.0</v>
      </c>
      <c r="C189" s="8" t="s">
        <v>605</v>
      </c>
      <c r="D189" s="8" t="s">
        <v>620</v>
      </c>
      <c r="E189" s="9">
        <v>332578.0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r="190" ht="15.75" customHeight="1">
      <c r="A190" s="6" t="s">
        <v>595</v>
      </c>
      <c r="B190" s="10">
        <v>44256.0</v>
      </c>
      <c r="C190" s="8" t="s">
        <v>597</v>
      </c>
      <c r="D190" s="8" t="s">
        <v>621</v>
      </c>
      <c r="E190" s="9">
        <v>173597.0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r="191" ht="15.75" customHeight="1">
      <c r="A191" s="6" t="s">
        <v>595</v>
      </c>
      <c r="B191" s="10">
        <v>44256.0</v>
      </c>
      <c r="C191" s="8" t="s">
        <v>597</v>
      </c>
      <c r="D191" s="8" t="s">
        <v>631</v>
      </c>
      <c r="E191" s="9">
        <v>168118.0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r="192" ht="15.75" customHeight="1">
      <c r="A192" s="6" t="s">
        <v>595</v>
      </c>
      <c r="B192" s="10">
        <v>44256.0</v>
      </c>
      <c r="C192" s="8" t="s">
        <v>597</v>
      </c>
      <c r="D192" s="8" t="s">
        <v>622</v>
      </c>
      <c r="E192" s="9">
        <v>166060.0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r="193" ht="15.75" customHeight="1">
      <c r="A193" s="6" t="s">
        <v>595</v>
      </c>
      <c r="B193" s="10">
        <v>44256.0</v>
      </c>
      <c r="C193" s="8" t="s">
        <v>597</v>
      </c>
      <c r="D193" s="8" t="s">
        <v>618</v>
      </c>
      <c r="E193" s="9">
        <v>163094.0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r="194" ht="15.75" customHeight="1">
      <c r="A194" s="6" t="s">
        <v>595</v>
      </c>
      <c r="B194" s="10">
        <v>44256.0</v>
      </c>
      <c r="C194" s="8" t="s">
        <v>597</v>
      </c>
      <c r="D194" s="8" t="s">
        <v>632</v>
      </c>
      <c r="E194" s="9">
        <v>178777.0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r="195" ht="15.75" customHeight="1">
      <c r="A195" s="6" t="s">
        <v>595</v>
      </c>
      <c r="B195" s="10">
        <v>44256.0</v>
      </c>
      <c r="C195" s="8" t="s">
        <v>597</v>
      </c>
      <c r="D195" s="8" t="s">
        <v>599</v>
      </c>
      <c r="E195" s="9">
        <v>178364.0</v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r="196" ht="15.75" customHeight="1">
      <c r="A196" s="6" t="s">
        <v>595</v>
      </c>
      <c r="B196" s="10">
        <v>44197.0</v>
      </c>
      <c r="C196" s="8" t="s">
        <v>597</v>
      </c>
      <c r="D196" s="8" t="s">
        <v>622</v>
      </c>
      <c r="E196" s="13">
        <v>109130.0</v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r="197" ht="15.75" customHeight="1">
      <c r="A197" s="6" t="s">
        <v>595</v>
      </c>
      <c r="B197" s="10">
        <v>44197.0</v>
      </c>
      <c r="C197" s="8" t="s">
        <v>597</v>
      </c>
      <c r="D197" s="8" t="s">
        <v>598</v>
      </c>
      <c r="E197" s="13">
        <v>85039.0</v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r="198" ht="15.75" customHeight="1">
      <c r="A198" s="6" t="s">
        <v>595</v>
      </c>
      <c r="B198" s="10">
        <v>44228.0</v>
      </c>
      <c r="C198" s="8" t="s">
        <v>602</v>
      </c>
      <c r="D198" s="8" t="s">
        <v>603</v>
      </c>
      <c r="E198" s="13">
        <v>228033.0</v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r="199" ht="15.75" customHeight="1">
      <c r="A199" s="6" t="s">
        <v>595</v>
      </c>
      <c r="B199" s="7" t="s">
        <v>596</v>
      </c>
      <c r="C199" s="8" t="s">
        <v>597</v>
      </c>
      <c r="D199" s="8" t="s">
        <v>631</v>
      </c>
      <c r="E199" s="9">
        <v>5277.0</v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r="200" ht="15.75" customHeight="1">
      <c r="A200" s="6" t="s">
        <v>595</v>
      </c>
      <c r="B200" s="7" t="s">
        <v>596</v>
      </c>
      <c r="C200" s="8" t="s">
        <v>597</v>
      </c>
      <c r="D200" s="8" t="s">
        <v>623</v>
      </c>
      <c r="E200" s="9">
        <v>5175.0</v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r="201" ht="15.75" customHeight="1">
      <c r="A201" s="6" t="s">
        <v>595</v>
      </c>
      <c r="B201" s="7" t="s">
        <v>596</v>
      </c>
      <c r="C201" s="8" t="s">
        <v>597</v>
      </c>
      <c r="D201" s="8" t="s">
        <v>622</v>
      </c>
      <c r="E201" s="13">
        <v>5138.0</v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r="202" ht="15.75" customHeight="1">
      <c r="A202" s="6" t="s">
        <v>595</v>
      </c>
      <c r="B202" s="7" t="s">
        <v>596</v>
      </c>
      <c r="C202" s="8" t="s">
        <v>597</v>
      </c>
      <c r="D202" s="8" t="s">
        <v>632</v>
      </c>
      <c r="E202" s="13">
        <v>5089.0</v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r="203" ht="15.75" customHeight="1">
      <c r="A203" s="6" t="s">
        <v>595</v>
      </c>
      <c r="B203" s="10">
        <v>44317.0</v>
      </c>
      <c r="C203" s="8" t="s">
        <v>602</v>
      </c>
      <c r="D203" s="8" t="s">
        <v>625</v>
      </c>
      <c r="E203" s="9">
        <v>102458.0</v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r="204" ht="15.75" customHeight="1">
      <c r="A204" s="6" t="s">
        <v>595</v>
      </c>
      <c r="B204" s="10">
        <v>44317.0</v>
      </c>
      <c r="C204" s="8" t="s">
        <v>602</v>
      </c>
      <c r="D204" s="8" t="s">
        <v>614</v>
      </c>
      <c r="E204" s="9">
        <v>95763.0</v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r="205" ht="15.75" customHeight="1">
      <c r="A205" s="6" t="s">
        <v>595</v>
      </c>
      <c r="B205" s="10">
        <v>44317.0</v>
      </c>
      <c r="C205" s="8" t="s">
        <v>602</v>
      </c>
      <c r="D205" s="8" t="s">
        <v>617</v>
      </c>
      <c r="E205" s="13">
        <v>88021.0</v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r="206" ht="15.75" customHeight="1">
      <c r="A206" s="6" t="s">
        <v>595</v>
      </c>
      <c r="B206" s="10">
        <v>44317.0</v>
      </c>
      <c r="C206" s="8" t="s">
        <v>602</v>
      </c>
      <c r="D206" s="8" t="s">
        <v>611</v>
      </c>
      <c r="E206" s="13">
        <v>70900.0</v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r="207" ht="15.75" customHeight="1">
      <c r="A207" s="6" t="s">
        <v>595</v>
      </c>
      <c r="B207" s="10">
        <v>44287.0</v>
      </c>
      <c r="C207" s="8" t="s">
        <v>608</v>
      </c>
      <c r="D207" s="8" t="s">
        <v>609</v>
      </c>
      <c r="E207" s="13">
        <v>143355.0</v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r="208" ht="15.75" customHeight="1">
      <c r="A208" s="6" t="s">
        <v>595</v>
      </c>
      <c r="B208" s="10">
        <v>44287.0</v>
      </c>
      <c r="C208" s="8" t="s">
        <v>608</v>
      </c>
      <c r="D208" s="8" t="s">
        <v>635</v>
      </c>
      <c r="E208" s="13">
        <v>138067.0</v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r="209" ht="15.75" customHeight="1">
      <c r="A209" s="6" t="s">
        <v>595</v>
      </c>
      <c r="B209" s="10">
        <v>44287.0</v>
      </c>
      <c r="C209" s="8" t="s">
        <v>608</v>
      </c>
      <c r="D209" s="8" t="s">
        <v>610</v>
      </c>
      <c r="E209" s="13">
        <v>137811.0</v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r="210" ht="15.75" customHeight="1">
      <c r="A210" s="6" t="s">
        <v>595</v>
      </c>
      <c r="B210" s="10">
        <v>44287.0</v>
      </c>
      <c r="C210" s="8" t="s">
        <v>608</v>
      </c>
      <c r="D210" s="8" t="s">
        <v>626</v>
      </c>
      <c r="E210" s="13">
        <v>93737.0</v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r="211" ht="15.75" customHeight="1">
      <c r="A211" s="6" t="s">
        <v>595</v>
      </c>
      <c r="B211" s="10">
        <v>44256.0</v>
      </c>
      <c r="C211" s="8" t="s">
        <v>608</v>
      </c>
      <c r="D211" s="8" t="s">
        <v>637</v>
      </c>
      <c r="E211" s="9">
        <v>269877.0</v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r="212" ht="15.75" customHeight="1">
      <c r="A212" s="6" t="s">
        <v>595</v>
      </c>
      <c r="B212" s="10">
        <v>44256.0</v>
      </c>
      <c r="C212" s="8" t="s">
        <v>608</v>
      </c>
      <c r="D212" s="8" t="s">
        <v>636</v>
      </c>
      <c r="E212" s="9">
        <v>264364.0</v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r="213" ht="15.75" customHeight="1">
      <c r="A213" s="6" t="s">
        <v>595</v>
      </c>
      <c r="B213" s="10">
        <v>44256.0</v>
      </c>
      <c r="C213" s="8" t="s">
        <v>608</v>
      </c>
      <c r="D213" s="8" t="s">
        <v>609</v>
      </c>
      <c r="E213" s="9">
        <v>206473.0</v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r="214" ht="15.75" customHeight="1">
      <c r="A214" s="6" t="s">
        <v>595</v>
      </c>
      <c r="B214" s="10">
        <v>44256.0</v>
      </c>
      <c r="C214" s="8" t="s">
        <v>608</v>
      </c>
      <c r="D214" s="8" t="s">
        <v>610</v>
      </c>
      <c r="E214" s="9">
        <v>169642.0</v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r="215" ht="15.75" customHeight="1">
      <c r="A215" s="6" t="s">
        <v>595</v>
      </c>
      <c r="B215" s="10">
        <v>44228.0</v>
      </c>
      <c r="C215" s="8" t="s">
        <v>597</v>
      </c>
      <c r="D215" s="8" t="s">
        <v>638</v>
      </c>
      <c r="E215" s="9">
        <v>313737.0</v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r="216" ht="15.75" customHeight="1">
      <c r="A216" s="6" t="s">
        <v>595</v>
      </c>
      <c r="B216" s="10">
        <v>44348.0</v>
      </c>
      <c r="C216" s="8" t="s">
        <v>605</v>
      </c>
      <c r="D216" s="8" t="s">
        <v>633</v>
      </c>
      <c r="E216" s="9">
        <v>240630.0</v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r="217" ht="15.75" customHeight="1">
      <c r="A217" s="6" t="s">
        <v>595</v>
      </c>
      <c r="B217" s="10">
        <v>44348.0</v>
      </c>
      <c r="C217" s="8" t="s">
        <v>605</v>
      </c>
      <c r="D217" s="8" t="s">
        <v>634</v>
      </c>
      <c r="E217" s="9">
        <v>30294.0</v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r="218" ht="15.75" customHeight="1">
      <c r="A218" s="6" t="s">
        <v>595</v>
      </c>
      <c r="B218" s="10">
        <v>44317.0</v>
      </c>
      <c r="C218" s="8" t="s">
        <v>602</v>
      </c>
      <c r="D218" s="8" t="s">
        <v>615</v>
      </c>
      <c r="E218" s="13">
        <v>91466.0</v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r="219" ht="15.75" customHeight="1">
      <c r="A219" s="6" t="s">
        <v>595</v>
      </c>
      <c r="B219" s="10">
        <v>44317.0</v>
      </c>
      <c r="C219" s="8" t="s">
        <v>602</v>
      </c>
      <c r="D219" s="8" t="s">
        <v>616</v>
      </c>
      <c r="E219" s="13">
        <v>91142.0</v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r="220" ht="15.75" customHeight="1">
      <c r="A220" s="6" t="s">
        <v>595</v>
      </c>
      <c r="B220" s="10">
        <v>44348.0</v>
      </c>
      <c r="C220" s="8" t="s">
        <v>602</v>
      </c>
      <c r="D220" s="8" t="s">
        <v>614</v>
      </c>
      <c r="E220" s="13">
        <v>125521.0</v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r="221" ht="15.75" customHeight="1">
      <c r="A221" s="6" t="s">
        <v>595</v>
      </c>
      <c r="B221" s="10">
        <v>44348.0</v>
      </c>
      <c r="C221" s="8" t="s">
        <v>602</v>
      </c>
      <c r="D221" s="8" t="s">
        <v>625</v>
      </c>
      <c r="E221" s="13">
        <v>107136.0</v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r="222" ht="15.75" customHeight="1">
      <c r="A222" s="6" t="s">
        <v>595</v>
      </c>
      <c r="B222" s="10">
        <v>44348.0</v>
      </c>
      <c r="C222" s="8" t="s">
        <v>602</v>
      </c>
      <c r="D222" s="8" t="s">
        <v>617</v>
      </c>
      <c r="E222" s="13">
        <v>104244.0</v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r="223" ht="15.75" customHeight="1">
      <c r="A223" s="6" t="s">
        <v>595</v>
      </c>
      <c r="B223" s="10">
        <v>44348.0</v>
      </c>
      <c r="C223" s="8" t="s">
        <v>602</v>
      </c>
      <c r="D223" s="8" t="s">
        <v>616</v>
      </c>
      <c r="E223" s="13">
        <v>100779.0</v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r="224" ht="15.75" customHeight="1">
      <c r="A224" s="6" t="s">
        <v>595</v>
      </c>
      <c r="B224" s="7" t="s">
        <v>601</v>
      </c>
      <c r="C224" s="8" t="s">
        <v>597</v>
      </c>
      <c r="D224" s="8" t="s">
        <v>598</v>
      </c>
      <c r="E224" s="13">
        <v>4674.0</v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r="225" ht="15.75" customHeight="1">
      <c r="A225" s="6" t="s">
        <v>595</v>
      </c>
      <c r="B225" s="7" t="s">
        <v>601</v>
      </c>
      <c r="C225" s="8" t="s">
        <v>605</v>
      </c>
      <c r="D225" s="8" t="s">
        <v>633</v>
      </c>
      <c r="E225" s="13">
        <v>5609.0</v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r="226" ht="15.75" customHeight="1">
      <c r="A226" s="6" t="s">
        <v>595</v>
      </c>
      <c r="B226" s="7" t="s">
        <v>601</v>
      </c>
      <c r="C226" s="8" t="s">
        <v>605</v>
      </c>
      <c r="D226" s="8" t="s">
        <v>634</v>
      </c>
      <c r="E226" s="13">
        <v>507.0</v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r="227" ht="15.75" customHeight="1">
      <c r="A227" s="6" t="s">
        <v>595</v>
      </c>
      <c r="B227" s="10">
        <v>44348.0</v>
      </c>
      <c r="C227" s="8" t="s">
        <v>602</v>
      </c>
      <c r="D227" s="8" t="s">
        <v>615</v>
      </c>
      <c r="E227" s="13">
        <v>93001.0</v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r="228" ht="15.75" customHeight="1">
      <c r="A228" s="6" t="s">
        <v>595</v>
      </c>
      <c r="B228" s="10">
        <v>44348.0</v>
      </c>
      <c r="C228" s="8" t="s">
        <v>602</v>
      </c>
      <c r="D228" s="8" t="s">
        <v>611</v>
      </c>
      <c r="E228" s="13">
        <v>72335.0</v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r="229" ht="15.75" customHeight="1">
      <c r="A229" s="6" t="s">
        <v>595</v>
      </c>
      <c r="B229" s="10">
        <v>44197.0</v>
      </c>
      <c r="C229" s="8" t="s">
        <v>597</v>
      </c>
      <c r="D229" s="8" t="s">
        <v>632</v>
      </c>
      <c r="E229" s="13">
        <v>128564.0</v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r="230" ht="15.75" customHeight="1">
      <c r="A230" s="6" t="s">
        <v>595</v>
      </c>
      <c r="B230" s="10">
        <v>44228.0</v>
      </c>
      <c r="C230" s="8" t="s">
        <v>608</v>
      </c>
      <c r="D230" s="8" t="s">
        <v>624</v>
      </c>
      <c r="E230" s="13">
        <v>590610.0</v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r="231" ht="15.75" customHeight="1">
      <c r="A231" s="6" t="s">
        <v>595</v>
      </c>
      <c r="B231" s="10">
        <v>44228.0</v>
      </c>
      <c r="C231" s="8" t="s">
        <v>608</v>
      </c>
      <c r="D231" s="8" t="s">
        <v>626</v>
      </c>
      <c r="E231" s="13">
        <v>414545.0</v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r="232" ht="15.75" customHeight="1">
      <c r="A232" s="6" t="s">
        <v>595</v>
      </c>
      <c r="B232" s="10">
        <v>44228.0</v>
      </c>
      <c r="C232" s="8" t="s">
        <v>608</v>
      </c>
      <c r="D232" s="8" t="s">
        <v>636</v>
      </c>
      <c r="E232" s="13">
        <v>380373.0</v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r="233" ht="15.75" customHeight="1">
      <c r="A233" s="6" t="s">
        <v>595</v>
      </c>
      <c r="B233" s="10">
        <v>44228.0</v>
      </c>
      <c r="C233" s="8" t="s">
        <v>608</v>
      </c>
      <c r="D233" s="8" t="s">
        <v>637</v>
      </c>
      <c r="E233" s="13">
        <v>349568.0</v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r="234" ht="15.75" customHeight="1">
      <c r="A234" s="6" t="s">
        <v>595</v>
      </c>
      <c r="B234" s="10">
        <v>44287.0</v>
      </c>
      <c r="C234" s="8" t="s">
        <v>597</v>
      </c>
      <c r="D234" s="8" t="s">
        <v>598</v>
      </c>
      <c r="E234" s="13">
        <v>93984.0</v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r="235" ht="15.75" customHeight="1">
      <c r="A235" s="6" t="s">
        <v>595</v>
      </c>
      <c r="B235" s="10">
        <v>44287.0</v>
      </c>
      <c r="C235" s="8" t="s">
        <v>605</v>
      </c>
      <c r="D235" s="8" t="s">
        <v>633</v>
      </c>
      <c r="E235" s="13">
        <v>244061.0</v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r="236" ht="15.75" customHeight="1">
      <c r="A236" s="6" t="s">
        <v>595</v>
      </c>
      <c r="B236" s="10">
        <v>44287.0</v>
      </c>
      <c r="C236" s="8" t="s">
        <v>605</v>
      </c>
      <c r="D236" s="8" t="s">
        <v>634</v>
      </c>
      <c r="E236" s="13">
        <v>28620.0</v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r="237" ht="15.75" customHeight="1">
      <c r="A237" s="6" t="s">
        <v>595</v>
      </c>
      <c r="B237" s="7" t="s">
        <v>601</v>
      </c>
      <c r="C237" s="8" t="s">
        <v>608</v>
      </c>
      <c r="D237" s="8" t="s">
        <v>624</v>
      </c>
      <c r="E237" s="13">
        <v>7744.0</v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r="238" ht="15.75" customHeight="1">
      <c r="A238" s="6" t="s">
        <v>595</v>
      </c>
      <c r="B238" s="7" t="s">
        <v>601</v>
      </c>
      <c r="C238" s="8" t="s">
        <v>608</v>
      </c>
      <c r="D238" s="8" t="s">
        <v>637</v>
      </c>
      <c r="E238" s="13">
        <v>6332.0</v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r="239" ht="15.75" customHeight="1">
      <c r="A239" s="6" t="s">
        <v>595</v>
      </c>
      <c r="B239" s="7" t="s">
        <v>601</v>
      </c>
      <c r="C239" s="8" t="s">
        <v>608</v>
      </c>
      <c r="D239" s="8" t="s">
        <v>635</v>
      </c>
      <c r="E239" s="13">
        <v>11719.0</v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r="240" ht="15.75" customHeight="1">
      <c r="A240" s="6" t="s">
        <v>595</v>
      </c>
      <c r="B240" s="7" t="s">
        <v>601</v>
      </c>
      <c r="C240" s="8" t="s">
        <v>608</v>
      </c>
      <c r="D240" s="8" t="s">
        <v>609</v>
      </c>
      <c r="E240" s="13">
        <v>9601.0</v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r="241" ht="15.75" customHeight="1">
      <c r="A241" s="6" t="s">
        <v>595</v>
      </c>
      <c r="B241" s="10">
        <v>44348.0</v>
      </c>
      <c r="C241" s="8" t="s">
        <v>597</v>
      </c>
      <c r="D241" s="8" t="s">
        <v>621</v>
      </c>
      <c r="E241" s="9">
        <v>93390.0</v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r="242" ht="15.75" customHeight="1">
      <c r="A242" s="6" t="s">
        <v>595</v>
      </c>
      <c r="B242" s="10">
        <v>44348.0</v>
      </c>
      <c r="C242" s="8" t="s">
        <v>597</v>
      </c>
      <c r="D242" s="8" t="s">
        <v>632</v>
      </c>
      <c r="E242" s="9">
        <v>92899.0</v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r="243" ht="15.75" customHeight="1">
      <c r="A243" s="6" t="s">
        <v>595</v>
      </c>
      <c r="B243" s="10">
        <v>44348.0</v>
      </c>
      <c r="C243" s="8" t="s">
        <v>597</v>
      </c>
      <c r="D243" s="8" t="s">
        <v>623</v>
      </c>
      <c r="E243" s="9">
        <v>65394.0</v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r="244" ht="15.75" customHeight="1">
      <c r="A244" s="6" t="s">
        <v>595</v>
      </c>
      <c r="B244" s="10">
        <v>44348.0</v>
      </c>
      <c r="C244" s="8" t="s">
        <v>597</v>
      </c>
      <c r="D244" s="8" t="s">
        <v>598</v>
      </c>
      <c r="E244" s="9">
        <v>62213.0</v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r="245" ht="15.75" customHeight="1">
      <c r="A245" s="6" t="s">
        <v>595</v>
      </c>
      <c r="B245" s="10">
        <v>44348.0</v>
      </c>
      <c r="C245" s="8" t="s">
        <v>608</v>
      </c>
      <c r="D245" s="8" t="s">
        <v>610</v>
      </c>
      <c r="E245" s="9">
        <v>115674.0</v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r="246" ht="15.75" customHeight="1">
      <c r="A246" s="6" t="s">
        <v>595</v>
      </c>
      <c r="B246" s="10">
        <v>44348.0</v>
      </c>
      <c r="C246" s="8" t="s">
        <v>608</v>
      </c>
      <c r="D246" s="8" t="s">
        <v>635</v>
      </c>
      <c r="E246" s="13">
        <v>111959.0</v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r="247" ht="15.75" customHeight="1">
      <c r="A247" s="6" t="s">
        <v>595</v>
      </c>
      <c r="B247" s="10">
        <v>44348.0</v>
      </c>
      <c r="C247" s="8" t="s">
        <v>608</v>
      </c>
      <c r="D247" s="8" t="s">
        <v>624</v>
      </c>
      <c r="E247" s="13">
        <v>133819.0</v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r="248" ht="15.75" customHeight="1">
      <c r="A248" s="6" t="s">
        <v>595</v>
      </c>
      <c r="B248" s="10">
        <v>44348.0</v>
      </c>
      <c r="C248" s="8" t="s">
        <v>608</v>
      </c>
      <c r="D248" s="8" t="s">
        <v>609</v>
      </c>
      <c r="E248" s="13">
        <v>120306.0</v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r="249" ht="15.75" customHeight="1">
      <c r="A249" s="6" t="s">
        <v>595</v>
      </c>
      <c r="B249" s="10">
        <v>44228.0</v>
      </c>
      <c r="C249" s="8" t="s">
        <v>608</v>
      </c>
      <c r="D249" s="8" t="s">
        <v>635</v>
      </c>
      <c r="E249" s="13">
        <v>218816.0</v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r="250" ht="15.75" customHeight="1">
      <c r="A250" s="6" t="s">
        <v>595</v>
      </c>
      <c r="B250" s="7" t="s">
        <v>601</v>
      </c>
      <c r="C250" s="8" t="s">
        <v>605</v>
      </c>
      <c r="D250" s="8" t="s">
        <v>620</v>
      </c>
      <c r="E250" s="13">
        <v>4099.0</v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r="251" ht="15.75" customHeight="1">
      <c r="A251" s="6" t="s">
        <v>595</v>
      </c>
      <c r="B251" s="10">
        <v>44197.0</v>
      </c>
      <c r="C251" s="8" t="s">
        <v>605</v>
      </c>
      <c r="D251" s="8" t="s">
        <v>606</v>
      </c>
      <c r="E251" s="13">
        <v>202770.0</v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r="252" ht="15.75" customHeight="1">
      <c r="A252" s="6" t="s">
        <v>595</v>
      </c>
      <c r="B252" s="10">
        <v>44287.0</v>
      </c>
      <c r="C252" s="8" t="s">
        <v>602</v>
      </c>
      <c r="D252" s="8" t="s">
        <v>604</v>
      </c>
      <c r="E252" s="13">
        <v>72017.0</v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r="253" ht="15.75" customHeight="1">
      <c r="A253" s="6" t="s">
        <v>595</v>
      </c>
      <c r="B253" s="10">
        <v>44287.0</v>
      </c>
      <c r="C253" s="8" t="s">
        <v>605</v>
      </c>
      <c r="D253" s="8" t="s">
        <v>607</v>
      </c>
      <c r="E253" s="13">
        <v>80587.0</v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r="254" ht="15.75" customHeight="1">
      <c r="A254" s="6" t="s">
        <v>595</v>
      </c>
      <c r="B254" s="10">
        <v>44317.0</v>
      </c>
      <c r="C254" s="8" t="s">
        <v>597</v>
      </c>
      <c r="D254" s="8" t="s">
        <v>621</v>
      </c>
      <c r="E254" s="13">
        <v>86723.0</v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r="255" ht="15.75" customHeight="1">
      <c r="A255" s="6" t="s">
        <v>595</v>
      </c>
      <c r="B255" s="10">
        <v>44317.0</v>
      </c>
      <c r="C255" s="8" t="s">
        <v>597</v>
      </c>
      <c r="D255" s="8" t="s">
        <v>631</v>
      </c>
      <c r="E255" s="13">
        <v>86050.0</v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r="256" ht="15.75" customHeight="1">
      <c r="A256" s="6" t="s">
        <v>595</v>
      </c>
      <c r="B256" s="10">
        <v>44317.0</v>
      </c>
      <c r="C256" s="8" t="s">
        <v>597</v>
      </c>
      <c r="D256" s="8" t="s">
        <v>622</v>
      </c>
      <c r="E256" s="13">
        <v>80635.0</v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r="257" ht="15.75" customHeight="1">
      <c r="A257" s="6" t="s">
        <v>595</v>
      </c>
      <c r="B257" s="10">
        <v>44317.0</v>
      </c>
      <c r="C257" s="8" t="s">
        <v>597</v>
      </c>
      <c r="D257" s="8" t="s">
        <v>618</v>
      </c>
      <c r="E257" s="13">
        <v>78044.0</v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r="258" ht="15.75" customHeight="1">
      <c r="A258" s="6" t="s">
        <v>595</v>
      </c>
      <c r="B258" s="10">
        <v>44317.0</v>
      </c>
      <c r="C258" s="8" t="s">
        <v>597</v>
      </c>
      <c r="D258" s="8" t="s">
        <v>623</v>
      </c>
      <c r="E258" s="13">
        <v>65486.0</v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r="259" ht="15.75" customHeight="1">
      <c r="A259" s="6" t="s">
        <v>595</v>
      </c>
      <c r="B259" s="10">
        <v>44317.0</v>
      </c>
      <c r="C259" s="8" t="s">
        <v>597</v>
      </c>
      <c r="D259" s="8" t="s">
        <v>598</v>
      </c>
      <c r="E259" s="13">
        <v>63312.0</v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r="260" ht="15.75" customHeight="1">
      <c r="A260" s="6" t="s">
        <v>595</v>
      </c>
      <c r="B260" s="10">
        <v>44348.0</v>
      </c>
      <c r="C260" s="8" t="s">
        <v>597</v>
      </c>
      <c r="D260" s="8" t="s">
        <v>618</v>
      </c>
      <c r="E260" s="13">
        <v>109873.0</v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r="261" ht="15.75" customHeight="1">
      <c r="A261" s="6" t="s">
        <v>595</v>
      </c>
      <c r="B261" s="10">
        <v>44348.0</v>
      </c>
      <c r="C261" s="8" t="s">
        <v>597</v>
      </c>
      <c r="D261" s="8" t="s">
        <v>622</v>
      </c>
      <c r="E261" s="13">
        <v>101424.0</v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r="262" ht="15.75" customHeight="1">
      <c r="A262" s="6" t="s">
        <v>595</v>
      </c>
      <c r="B262" s="10">
        <v>44378.0</v>
      </c>
      <c r="C262" s="8" t="s">
        <v>602</v>
      </c>
      <c r="D262" s="8" t="s">
        <v>625</v>
      </c>
      <c r="E262" s="13">
        <v>96056.0</v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r="263" ht="15.75" customHeight="1">
      <c r="A263" s="6" t="s">
        <v>595</v>
      </c>
      <c r="B263" s="10">
        <v>44378.0</v>
      </c>
      <c r="C263" s="8" t="s">
        <v>602</v>
      </c>
      <c r="D263" s="8" t="s">
        <v>616</v>
      </c>
      <c r="E263" s="13">
        <v>92067.0</v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r="264" ht="15.75" customHeight="1">
      <c r="A264" s="6" t="s">
        <v>595</v>
      </c>
      <c r="B264" s="10">
        <v>44378.0</v>
      </c>
      <c r="C264" s="8" t="s">
        <v>602</v>
      </c>
      <c r="D264" s="8" t="s">
        <v>627</v>
      </c>
      <c r="E264" s="13">
        <v>43734.0</v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r="265" ht="15.75" customHeight="1">
      <c r="A265" s="6" t="s">
        <v>595</v>
      </c>
      <c r="B265" s="10">
        <v>44378.0</v>
      </c>
      <c r="C265" s="8" t="s">
        <v>605</v>
      </c>
      <c r="D265" s="8" t="s">
        <v>607</v>
      </c>
      <c r="E265" s="13">
        <v>65350.0</v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r="266" ht="15.75" customHeight="1">
      <c r="A266" s="6" t="s">
        <v>595</v>
      </c>
      <c r="B266" s="10">
        <v>44256.0</v>
      </c>
      <c r="C266" s="8" t="s">
        <v>602</v>
      </c>
      <c r="D266" s="8" t="s">
        <v>603</v>
      </c>
      <c r="E266" s="13">
        <v>144037.0</v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r="267" ht="15.75" customHeight="1">
      <c r="A267" s="6" t="s">
        <v>595</v>
      </c>
      <c r="B267" s="10">
        <v>44287.0</v>
      </c>
      <c r="C267" s="8" t="s">
        <v>602</v>
      </c>
      <c r="D267" s="8" t="s">
        <v>625</v>
      </c>
      <c r="E267" s="13">
        <v>151582.0</v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r="268" ht="15.75" customHeight="1">
      <c r="A268" s="6" t="s">
        <v>595</v>
      </c>
      <c r="B268" s="10">
        <v>44287.0</v>
      </c>
      <c r="C268" s="8" t="s">
        <v>602</v>
      </c>
      <c r="D268" s="8" t="s">
        <v>603</v>
      </c>
      <c r="E268" s="13">
        <v>98218.0</v>
      </c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r="269" ht="15.75" customHeight="1">
      <c r="A269" s="6" t="s">
        <v>595</v>
      </c>
      <c r="B269" s="10">
        <v>44287.0</v>
      </c>
      <c r="C269" s="8" t="s">
        <v>602</v>
      </c>
      <c r="D269" s="8" t="s">
        <v>611</v>
      </c>
      <c r="E269" s="13">
        <v>101055.0</v>
      </c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r="270" ht="15.75" customHeight="1">
      <c r="A270" s="6" t="s">
        <v>595</v>
      </c>
      <c r="B270" s="10">
        <v>44287.0</v>
      </c>
      <c r="C270" s="8" t="s">
        <v>602</v>
      </c>
      <c r="D270" s="8" t="s">
        <v>612</v>
      </c>
      <c r="E270" s="13">
        <v>81150.0</v>
      </c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r="271" ht="15.75" customHeight="1">
      <c r="A271" s="6" t="s">
        <v>595</v>
      </c>
      <c r="B271" s="10">
        <v>44317.0</v>
      </c>
      <c r="C271" s="8" t="s">
        <v>602</v>
      </c>
      <c r="D271" s="8" t="s">
        <v>604</v>
      </c>
      <c r="E271" s="13">
        <v>51612.0</v>
      </c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r="272" ht="15.75" customHeight="1">
      <c r="A272" s="6" t="s">
        <v>595</v>
      </c>
      <c r="B272" s="10">
        <v>44317.0</v>
      </c>
      <c r="C272" s="8" t="s">
        <v>605</v>
      </c>
      <c r="D272" s="8" t="s">
        <v>607</v>
      </c>
      <c r="E272" s="13">
        <v>62894.0</v>
      </c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r="273" ht="15.75" customHeight="1">
      <c r="A273" s="6" t="s">
        <v>595</v>
      </c>
      <c r="B273" s="10">
        <v>44378.0</v>
      </c>
      <c r="C273" s="8" t="s">
        <v>602</v>
      </c>
      <c r="D273" s="8" t="s">
        <v>614</v>
      </c>
      <c r="E273" s="13">
        <v>110488.0</v>
      </c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r="274" ht="15.75" customHeight="1">
      <c r="A274" s="6" t="s">
        <v>595</v>
      </c>
      <c r="B274" s="10">
        <v>44378.0</v>
      </c>
      <c r="C274" s="8" t="s">
        <v>597</v>
      </c>
      <c r="D274" s="8" t="s">
        <v>621</v>
      </c>
      <c r="E274" s="13">
        <v>84827.0</v>
      </c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r="275" ht="15.75" customHeight="1">
      <c r="A275" s="6" t="s">
        <v>595</v>
      </c>
      <c r="B275" s="10">
        <v>44378.0</v>
      </c>
      <c r="C275" s="8" t="s">
        <v>597</v>
      </c>
      <c r="D275" s="8" t="s">
        <v>631</v>
      </c>
      <c r="E275" s="13">
        <v>76363.0</v>
      </c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r="276" ht="15.75" customHeight="1">
      <c r="A276" s="6" t="s">
        <v>595</v>
      </c>
      <c r="B276" s="10">
        <v>44378.0</v>
      </c>
      <c r="C276" s="8" t="s">
        <v>602</v>
      </c>
      <c r="D276" s="8" t="s">
        <v>612</v>
      </c>
      <c r="E276" s="13">
        <v>46157.0</v>
      </c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r="277" ht="15.75" customHeight="1">
      <c r="A277" s="6" t="s">
        <v>595</v>
      </c>
      <c r="B277" s="10">
        <v>44378.0</v>
      </c>
      <c r="C277" s="8" t="s">
        <v>597</v>
      </c>
      <c r="D277" s="8" t="s">
        <v>623</v>
      </c>
      <c r="E277" s="13">
        <v>52973.0</v>
      </c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r="278" ht="15.75" customHeight="1">
      <c r="A278" s="6" t="s">
        <v>595</v>
      </c>
      <c r="B278" s="10">
        <v>44378.0</v>
      </c>
      <c r="C278" s="8" t="s">
        <v>605</v>
      </c>
      <c r="D278" s="8" t="s">
        <v>613</v>
      </c>
      <c r="E278" s="13">
        <v>148568.0</v>
      </c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r="279" ht="15.75" customHeight="1">
      <c r="A279" s="6" t="s">
        <v>595</v>
      </c>
      <c r="B279" s="10">
        <v>44317.0</v>
      </c>
      <c r="C279" s="8" t="s">
        <v>602</v>
      </c>
      <c r="D279" s="8" t="s">
        <v>612</v>
      </c>
      <c r="E279" s="13">
        <v>55244.0</v>
      </c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r="280" ht="15.75" customHeight="1">
      <c r="A280" s="6" t="s">
        <v>595</v>
      </c>
      <c r="B280" s="10">
        <v>44378.0</v>
      </c>
      <c r="C280" s="8" t="s">
        <v>597</v>
      </c>
      <c r="D280" s="8" t="s">
        <v>622</v>
      </c>
      <c r="E280" s="13">
        <v>91616.0</v>
      </c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r="281" ht="15.75" customHeight="1">
      <c r="A281" s="6" t="s">
        <v>595</v>
      </c>
      <c r="B281" s="10">
        <v>44378.0</v>
      </c>
      <c r="C281" s="8" t="s">
        <v>597</v>
      </c>
      <c r="D281" s="8" t="s">
        <v>598</v>
      </c>
      <c r="E281" s="13">
        <v>49500.0</v>
      </c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r="282" ht="15.75" customHeight="1">
      <c r="A282" s="6" t="s">
        <v>595</v>
      </c>
      <c r="B282" s="10">
        <v>44378.0</v>
      </c>
      <c r="C282" s="8" t="s">
        <v>608</v>
      </c>
      <c r="D282" s="8" t="s">
        <v>636</v>
      </c>
      <c r="E282" s="13">
        <v>131608.0</v>
      </c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r="283" ht="15.75" customHeight="1">
      <c r="A283" s="6" t="s">
        <v>595</v>
      </c>
      <c r="B283" s="10">
        <v>44378.0</v>
      </c>
      <c r="C283" s="8" t="s">
        <v>608</v>
      </c>
      <c r="D283" s="8" t="s">
        <v>626</v>
      </c>
      <c r="E283" s="13">
        <v>64021.0</v>
      </c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r="284" ht="15.75" customHeight="1">
      <c r="A284" s="6" t="s">
        <v>595</v>
      </c>
      <c r="B284" s="10">
        <v>44348.0</v>
      </c>
      <c r="C284" s="8" t="s">
        <v>602</v>
      </c>
      <c r="D284" s="8" t="s">
        <v>603</v>
      </c>
      <c r="E284" s="13">
        <v>101529.0</v>
      </c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r="285" ht="15.75" customHeight="1">
      <c r="A285" s="6" t="s">
        <v>595</v>
      </c>
      <c r="B285" s="10">
        <v>44287.0</v>
      </c>
      <c r="C285" s="8" t="s">
        <v>605</v>
      </c>
      <c r="D285" s="8" t="s">
        <v>620</v>
      </c>
      <c r="E285" s="13">
        <v>137316.0</v>
      </c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r="286" ht="15.75" customHeight="1">
      <c r="A286" s="6" t="s">
        <v>595</v>
      </c>
      <c r="B286" s="10">
        <v>44378.0</v>
      </c>
      <c r="C286" s="8" t="s">
        <v>597</v>
      </c>
      <c r="D286" s="8" t="s">
        <v>618</v>
      </c>
      <c r="E286" s="13">
        <v>97476.0</v>
      </c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r="287" ht="15.75" customHeight="1">
      <c r="A287" s="6" t="s">
        <v>595</v>
      </c>
      <c r="B287" s="10">
        <v>44378.0</v>
      </c>
      <c r="C287" s="8" t="s">
        <v>597</v>
      </c>
      <c r="D287" s="8" t="s">
        <v>638</v>
      </c>
      <c r="E287" s="13">
        <v>79631.0</v>
      </c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r="288" ht="15.75" customHeight="1">
      <c r="A288" s="6" t="s">
        <v>595</v>
      </c>
      <c r="B288" s="10">
        <v>44378.0</v>
      </c>
      <c r="C288" s="8" t="s">
        <v>597</v>
      </c>
      <c r="D288" s="8" t="s">
        <v>632</v>
      </c>
      <c r="E288" s="13">
        <v>85992.0</v>
      </c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r="289" ht="15.75" customHeight="1">
      <c r="A289" s="6" t="s">
        <v>595</v>
      </c>
      <c r="B289" s="10">
        <v>44378.0</v>
      </c>
      <c r="C289" s="8" t="s">
        <v>605</v>
      </c>
      <c r="D289" s="8" t="s">
        <v>633</v>
      </c>
      <c r="E289" s="13">
        <v>215981.0</v>
      </c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r="290" ht="15.75" customHeight="1">
      <c r="A290" s="6" t="s">
        <v>595</v>
      </c>
      <c r="B290" s="10">
        <v>44287.0</v>
      </c>
      <c r="C290" s="8" t="s">
        <v>597</v>
      </c>
      <c r="D290" s="8" t="s">
        <v>599</v>
      </c>
      <c r="E290" s="13">
        <v>127178.0</v>
      </c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r="291" ht="15.75" customHeight="1">
      <c r="A291" s="6" t="s">
        <v>595</v>
      </c>
      <c r="B291" s="10">
        <v>44348.0</v>
      </c>
      <c r="C291" s="8" t="s">
        <v>605</v>
      </c>
      <c r="D291" s="8" t="s">
        <v>613</v>
      </c>
      <c r="E291" s="13">
        <v>187856.0</v>
      </c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r="292" ht="15.75" customHeight="1">
      <c r="A292" s="6" t="s">
        <v>595</v>
      </c>
      <c r="B292" s="7" t="s">
        <v>596</v>
      </c>
      <c r="C292" s="8" t="s">
        <v>597</v>
      </c>
      <c r="D292" s="8" t="s">
        <v>618</v>
      </c>
      <c r="E292" s="13">
        <v>5224.0</v>
      </c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r="293" ht="15.75" customHeight="1">
      <c r="A293" s="6" t="s">
        <v>595</v>
      </c>
      <c r="B293" s="7" t="s">
        <v>596</v>
      </c>
      <c r="C293" s="8" t="s">
        <v>605</v>
      </c>
      <c r="D293" s="8" t="s">
        <v>633</v>
      </c>
      <c r="E293" s="13">
        <v>9818.0</v>
      </c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r="294" ht="15.75" customHeight="1">
      <c r="A294" s="6" t="s">
        <v>595</v>
      </c>
      <c r="B294" s="10">
        <v>44378.0</v>
      </c>
      <c r="C294" s="8" t="s">
        <v>605</v>
      </c>
      <c r="D294" s="8" t="s">
        <v>619</v>
      </c>
      <c r="E294" s="13">
        <v>59269.0</v>
      </c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r="295" ht="15.75" customHeight="1">
      <c r="A295" s="6" t="s">
        <v>595</v>
      </c>
      <c r="B295" s="10">
        <v>44256.0</v>
      </c>
      <c r="C295" s="8" t="s">
        <v>608</v>
      </c>
      <c r="D295" s="8" t="s">
        <v>624</v>
      </c>
      <c r="E295" s="13">
        <v>296560.0</v>
      </c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r="296" ht="15.75" customHeight="1">
      <c r="A296" s="6" t="s">
        <v>595</v>
      </c>
      <c r="B296" s="10">
        <v>44348.0</v>
      </c>
      <c r="C296" s="8" t="s">
        <v>605</v>
      </c>
      <c r="D296" s="8" t="s">
        <v>606</v>
      </c>
      <c r="E296" s="13">
        <v>156168.0</v>
      </c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r="297" ht="15.75" customHeight="1">
      <c r="A297" s="6" t="s">
        <v>595</v>
      </c>
      <c r="B297" s="10">
        <v>44317.0</v>
      </c>
      <c r="C297" s="8" t="s">
        <v>605</v>
      </c>
      <c r="D297" s="8" t="s">
        <v>606</v>
      </c>
      <c r="E297" s="13">
        <v>151500.0</v>
      </c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r="298" ht="15.75" customHeight="1">
      <c r="A298" s="6" t="s">
        <v>595</v>
      </c>
      <c r="B298" s="10">
        <v>44378.0</v>
      </c>
      <c r="C298" s="8" t="s">
        <v>605</v>
      </c>
      <c r="D298" s="8" t="s">
        <v>620</v>
      </c>
      <c r="E298" s="13">
        <v>109989.0</v>
      </c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r="299" ht="15.75" customHeight="1">
      <c r="A299" s="6" t="s">
        <v>595</v>
      </c>
      <c r="B299" s="10">
        <v>44348.0</v>
      </c>
      <c r="C299" s="8" t="s">
        <v>605</v>
      </c>
      <c r="D299" s="8" t="s">
        <v>619</v>
      </c>
      <c r="E299" s="13">
        <v>68234.0</v>
      </c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r="300" ht="15.75" customHeight="1">
      <c r="A300" s="6" t="s">
        <v>595</v>
      </c>
      <c r="B300" s="10">
        <v>44348.0</v>
      </c>
      <c r="C300" s="8" t="s">
        <v>605</v>
      </c>
      <c r="D300" s="8" t="s">
        <v>620</v>
      </c>
      <c r="E300" s="13">
        <v>105760.0</v>
      </c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r="301" ht="15.75" customHeight="1">
      <c r="A301" s="6" t="s">
        <v>595</v>
      </c>
      <c r="B301" s="10">
        <v>44378.0</v>
      </c>
      <c r="C301" s="8" t="s">
        <v>608</v>
      </c>
      <c r="D301" s="8" t="s">
        <v>609</v>
      </c>
      <c r="E301" s="13">
        <v>112696.0</v>
      </c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r="302" ht="15.75" customHeight="1">
      <c r="A302" s="6" t="s">
        <v>595</v>
      </c>
      <c r="B302" s="10">
        <v>44378.0</v>
      </c>
      <c r="C302" s="8" t="s">
        <v>608</v>
      </c>
      <c r="D302" s="8" t="s">
        <v>635</v>
      </c>
      <c r="E302" s="13">
        <v>95975.0</v>
      </c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r="303" ht="15.75" customHeight="1">
      <c r="A303" s="6" t="s">
        <v>595</v>
      </c>
      <c r="B303" s="10">
        <v>44378.0</v>
      </c>
      <c r="C303" s="8" t="s">
        <v>605</v>
      </c>
      <c r="D303" s="8" t="s">
        <v>606</v>
      </c>
      <c r="E303" s="13">
        <v>130361.0</v>
      </c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r="304" ht="15.75" customHeight="1">
      <c r="A304" s="6" t="s">
        <v>595</v>
      </c>
      <c r="B304" s="10">
        <v>44287.0</v>
      </c>
      <c r="C304" s="8" t="s">
        <v>605</v>
      </c>
      <c r="D304" s="8" t="s">
        <v>619</v>
      </c>
      <c r="E304" s="13">
        <v>69844.0</v>
      </c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r="305" ht="15.75" customHeight="1">
      <c r="A305" s="6" t="s">
        <v>595</v>
      </c>
      <c r="B305" s="10">
        <v>44317.0</v>
      </c>
      <c r="C305" s="8" t="s">
        <v>605</v>
      </c>
      <c r="D305" s="8" t="s">
        <v>619</v>
      </c>
      <c r="E305" s="13">
        <v>54179.0</v>
      </c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r="306" ht="15.75" customHeight="1">
      <c r="A306" s="6" t="s">
        <v>595</v>
      </c>
      <c r="B306" s="10">
        <v>44317.0</v>
      </c>
      <c r="C306" s="8" t="s">
        <v>605</v>
      </c>
      <c r="D306" s="8" t="s">
        <v>620</v>
      </c>
      <c r="E306" s="13">
        <v>95668.0</v>
      </c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r="307" ht="15.75" customHeight="1">
      <c r="A307" s="6" t="s">
        <v>595</v>
      </c>
      <c r="B307" s="10">
        <v>44378.0</v>
      </c>
      <c r="C307" s="8" t="s">
        <v>605</v>
      </c>
      <c r="D307" s="8" t="s">
        <v>639</v>
      </c>
      <c r="E307" s="13">
        <v>14.0</v>
      </c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r="308" ht="15.75" customHeight="1">
      <c r="A308" s="6" t="s">
        <v>595</v>
      </c>
      <c r="B308" s="10">
        <v>44256.0</v>
      </c>
      <c r="C308" s="8" t="s">
        <v>605</v>
      </c>
      <c r="D308" s="8" t="s">
        <v>639</v>
      </c>
      <c r="E308" s="13">
        <v>13.0</v>
      </c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r="309" ht="15.75" customHeight="1">
      <c r="A309" s="6" t="s">
        <v>595</v>
      </c>
      <c r="B309" s="10">
        <v>44256.0</v>
      </c>
      <c r="C309" s="8" t="s">
        <v>605</v>
      </c>
      <c r="D309" s="8" t="s">
        <v>619</v>
      </c>
      <c r="E309" s="13">
        <v>61173.0</v>
      </c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r="310" ht="15.75" customHeight="1">
      <c r="A310" s="6" t="s">
        <v>595</v>
      </c>
      <c r="B310" s="10">
        <v>44256.0</v>
      </c>
      <c r="C310" s="8" t="s">
        <v>605</v>
      </c>
      <c r="D310" s="8" t="s">
        <v>606</v>
      </c>
      <c r="E310" s="13">
        <v>453972.0</v>
      </c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r="311" ht="15.75" customHeight="1">
      <c r="A311" s="6" t="s">
        <v>595</v>
      </c>
      <c r="B311" s="10">
        <v>44256.0</v>
      </c>
      <c r="C311" s="8" t="s">
        <v>597</v>
      </c>
      <c r="D311" s="8" t="s">
        <v>638</v>
      </c>
      <c r="E311" s="13">
        <v>191734.0</v>
      </c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r="312" ht="15.75" customHeight="1">
      <c r="A312" s="6" t="s">
        <v>595</v>
      </c>
      <c r="B312" s="10">
        <v>44348.0</v>
      </c>
      <c r="C312" s="8" t="s">
        <v>597</v>
      </c>
      <c r="D312" s="8" t="s">
        <v>638</v>
      </c>
      <c r="E312" s="13">
        <v>90741.0</v>
      </c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r="313" ht="15.75" customHeight="1">
      <c r="A313" s="6" t="s">
        <v>595</v>
      </c>
      <c r="B313" s="10">
        <v>44348.0</v>
      </c>
      <c r="C313" s="8" t="s">
        <v>605</v>
      </c>
      <c r="D313" s="8" t="s">
        <v>639</v>
      </c>
      <c r="E313" s="13">
        <v>13.0</v>
      </c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r="314" ht="15.75" customHeight="1">
      <c r="A314" s="6" t="s">
        <v>595</v>
      </c>
      <c r="B314" s="10">
        <v>44317.0</v>
      </c>
      <c r="C314" s="8" t="s">
        <v>602</v>
      </c>
      <c r="D314" s="8" t="s">
        <v>603</v>
      </c>
      <c r="E314" s="13">
        <v>60491.0</v>
      </c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r="315" ht="15.75" customHeight="1">
      <c r="A315" s="6" t="s">
        <v>595</v>
      </c>
      <c r="B315" s="10">
        <v>44317.0</v>
      </c>
      <c r="C315" s="8" t="s">
        <v>597</v>
      </c>
      <c r="D315" s="8" t="s">
        <v>600</v>
      </c>
      <c r="E315" s="13">
        <v>59790.0</v>
      </c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r="316" ht="15.75" customHeight="1">
      <c r="A316" s="6" t="s">
        <v>595</v>
      </c>
      <c r="B316" s="10">
        <v>44317.0</v>
      </c>
      <c r="C316" s="8" t="s">
        <v>608</v>
      </c>
      <c r="D316" s="8" t="s">
        <v>626</v>
      </c>
      <c r="E316" s="13">
        <v>64913.0</v>
      </c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</sheetData>
  <autoFilter ref="$C$1:$C$316"/>
  <printOptions/>
  <pageMargins bottom="0.787401575" footer="0.0" header="0.0" left="0.511811024" right="0.511811024" top="0.7874015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63"/>
    <col customWidth="1" min="3" max="3" width="15.88"/>
    <col customWidth="1" min="4" max="4" width="32.5"/>
    <col customWidth="1" min="5" max="9" width="7.38"/>
    <col customWidth="1" min="10" max="11" width="7.13"/>
    <col customWidth="1" min="12" max="21" width="7.63"/>
  </cols>
  <sheetData>
    <row r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>
      <c r="A2" s="14"/>
      <c r="B2" s="14"/>
      <c r="C2" s="14"/>
      <c r="D2" s="15" t="s">
        <v>640</v>
      </c>
      <c r="E2" s="16" t="str">
        <f>MODEL!AI8</f>
        <v>2021-01</v>
      </c>
      <c r="F2" s="16" t="str">
        <f>MODEL!AJ8</f>
        <v>2021-02</v>
      </c>
      <c r="G2" s="16" t="str">
        <f>MODEL!AK8</f>
        <v>2021-03</v>
      </c>
      <c r="H2" s="16" t="str">
        <f>MODEL!AL8</f>
        <v>2021-04</v>
      </c>
      <c r="I2" s="16" t="str">
        <f>MODEL!AM8</f>
        <v>2021-05</v>
      </c>
      <c r="J2" s="16" t="str">
        <f>MODEL!AN8</f>
        <v>2021-06</v>
      </c>
      <c r="K2" s="16" t="str">
        <f>MODEL!AO8</f>
        <v>2021-07</v>
      </c>
      <c r="L2" s="14"/>
      <c r="M2" s="14"/>
      <c r="N2" s="14"/>
      <c r="O2" s="14"/>
      <c r="P2" s="14"/>
      <c r="Q2" s="14"/>
      <c r="R2" s="14"/>
      <c r="S2" s="14"/>
      <c r="T2" s="17"/>
      <c r="U2" s="17"/>
    </row>
    <row r="3" ht="15.0" customHeight="1">
      <c r="A3" s="14"/>
      <c r="B3" s="14"/>
      <c r="C3" s="14"/>
      <c r="D3" s="18" t="s">
        <v>641</v>
      </c>
      <c r="E3" s="19">
        <f>MODEL!AI19</f>
        <v>0.04202046392</v>
      </c>
      <c r="F3" s="19">
        <f>MODEL!AJ19</f>
        <v>0.114324378</v>
      </c>
      <c r="G3" s="19">
        <f>MODEL!AK19</f>
        <v>0.07095338945</v>
      </c>
      <c r="H3" s="19">
        <f>MODEL!AL19</f>
        <v>0.06089564332</v>
      </c>
      <c r="I3" s="19">
        <f>MODEL!AM19</f>
        <v>0.05935135505</v>
      </c>
      <c r="J3" s="19">
        <f>MODEL!AN19</f>
        <v>0.09112353102</v>
      </c>
      <c r="K3" s="19">
        <f>MODEL!AO19</f>
        <v>0.1112424024</v>
      </c>
      <c r="L3" s="14"/>
      <c r="M3" s="14"/>
      <c r="N3" s="14"/>
      <c r="O3" s="14"/>
      <c r="P3" s="14"/>
      <c r="Q3" s="14"/>
      <c r="R3" s="14"/>
      <c r="S3" s="14"/>
      <c r="T3" s="17"/>
      <c r="U3" s="17"/>
    </row>
    <row r="4" ht="6.7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ht="15.0" customHeight="1">
      <c r="A5" s="14"/>
      <c r="B5" s="20" t="s">
        <v>642</v>
      </c>
      <c r="C5" s="21"/>
      <c r="D5" s="22"/>
      <c r="E5" s="16" t="s">
        <v>643</v>
      </c>
      <c r="F5" s="16" t="s">
        <v>644</v>
      </c>
      <c r="G5" s="16" t="s">
        <v>630</v>
      </c>
      <c r="H5" s="16" t="s">
        <v>629</v>
      </c>
      <c r="I5" s="16" t="s">
        <v>645</v>
      </c>
      <c r="J5" s="16" t="s">
        <v>628</v>
      </c>
      <c r="K5" s="16" t="s">
        <v>646</v>
      </c>
      <c r="L5" s="14"/>
      <c r="M5" s="14"/>
      <c r="N5" s="14"/>
      <c r="O5" s="14"/>
      <c r="P5" s="14"/>
      <c r="Q5" s="14"/>
      <c r="R5" s="14"/>
      <c r="S5" s="14"/>
      <c r="T5" s="14"/>
      <c r="U5" s="14"/>
    </row>
    <row r="6" ht="15.0" customHeight="1">
      <c r="A6" s="14"/>
      <c r="B6" s="23" t="s">
        <v>647</v>
      </c>
      <c r="C6" s="24" t="s">
        <v>648</v>
      </c>
      <c r="D6" s="25" t="s">
        <v>649</v>
      </c>
      <c r="E6" s="26">
        <f t="shared" ref="E6:K6" si="1">COUNTIF(E$13:E$15,"&lt;10%")</f>
        <v>1</v>
      </c>
      <c r="F6" s="26">
        <f t="shared" si="1"/>
        <v>0</v>
      </c>
      <c r="G6" s="26">
        <f t="shared" si="1"/>
        <v>2</v>
      </c>
      <c r="H6" s="26">
        <f t="shared" si="1"/>
        <v>2</v>
      </c>
      <c r="I6" s="26">
        <f t="shared" si="1"/>
        <v>1</v>
      </c>
      <c r="J6" s="26">
        <f t="shared" si="1"/>
        <v>1</v>
      </c>
      <c r="K6" s="26">
        <f t="shared" si="1"/>
        <v>2</v>
      </c>
      <c r="L6" s="14"/>
      <c r="M6" s="14"/>
      <c r="N6" s="14"/>
      <c r="O6" s="14"/>
      <c r="P6" s="14"/>
      <c r="Q6" s="14"/>
      <c r="R6" s="14"/>
      <c r="S6" s="14"/>
      <c r="T6" s="14"/>
      <c r="U6" s="14"/>
    </row>
    <row r="7" ht="15.0" customHeight="1">
      <c r="A7" s="14"/>
      <c r="B7" s="27"/>
      <c r="C7" s="27"/>
      <c r="D7" s="28" t="s">
        <v>650</v>
      </c>
      <c r="E7" s="26">
        <f t="shared" ref="E7:K7" si="2">COUNTIF(E$13:E$15,"&gt;=0%")-E6-E8</f>
        <v>1</v>
      </c>
      <c r="F7" s="26">
        <f t="shared" si="2"/>
        <v>2</v>
      </c>
      <c r="G7" s="26">
        <f t="shared" si="2"/>
        <v>1</v>
      </c>
      <c r="H7" s="26">
        <f t="shared" si="2"/>
        <v>1</v>
      </c>
      <c r="I7" s="26">
        <f t="shared" si="2"/>
        <v>2</v>
      </c>
      <c r="J7" s="26">
        <f t="shared" si="2"/>
        <v>2</v>
      </c>
      <c r="K7" s="26">
        <f t="shared" si="2"/>
        <v>1</v>
      </c>
      <c r="L7" s="14"/>
      <c r="M7" s="14"/>
      <c r="N7" s="14"/>
      <c r="O7" s="14"/>
      <c r="P7" s="14"/>
      <c r="Q7" s="14"/>
      <c r="R7" s="14"/>
      <c r="S7" s="14"/>
      <c r="T7" s="14"/>
      <c r="U7" s="14"/>
    </row>
    <row r="8">
      <c r="A8" s="14"/>
      <c r="B8" s="29"/>
      <c r="C8" s="29"/>
      <c r="D8" s="30" t="s">
        <v>651</v>
      </c>
      <c r="E8" s="26">
        <f t="shared" ref="E8:K8" si="3">COUNTIF(E$13:E$15,"&gt;=25%")</f>
        <v>1</v>
      </c>
      <c r="F8" s="26">
        <f t="shared" si="3"/>
        <v>1</v>
      </c>
      <c r="G8" s="26">
        <f t="shared" si="3"/>
        <v>0</v>
      </c>
      <c r="H8" s="26">
        <f t="shared" si="3"/>
        <v>0</v>
      </c>
      <c r="I8" s="26">
        <f t="shared" si="3"/>
        <v>0</v>
      </c>
      <c r="J8" s="26">
        <f t="shared" si="3"/>
        <v>0</v>
      </c>
      <c r="K8" s="26">
        <f t="shared" si="3"/>
        <v>0</v>
      </c>
      <c r="L8" s="14"/>
      <c r="M8" s="14"/>
      <c r="N8" s="14"/>
      <c r="O8" s="14"/>
      <c r="P8" s="14"/>
      <c r="Q8" s="14"/>
      <c r="R8" s="14"/>
      <c r="S8" s="14"/>
      <c r="T8" s="14"/>
      <c r="U8" s="14"/>
    </row>
    <row r="9" ht="6.75" customHeigh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</row>
    <row r="10">
      <c r="A10" s="14"/>
      <c r="B10" s="14"/>
      <c r="J10" s="31"/>
      <c r="K10" s="31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>
      <c r="A11" s="14"/>
      <c r="B11" s="14"/>
      <c r="J11" s="31"/>
      <c r="K11" s="31"/>
      <c r="L11" s="14"/>
      <c r="M11" s="14"/>
      <c r="N11" s="14"/>
      <c r="O11" s="14"/>
      <c r="P11" s="14"/>
      <c r="Q11" s="14"/>
      <c r="R11" s="14"/>
      <c r="S11" s="14"/>
      <c r="T11" s="14"/>
      <c r="U11" s="14"/>
    </row>
    <row r="12">
      <c r="A12" s="14"/>
      <c r="B12" s="14"/>
      <c r="C12" s="15" t="s">
        <v>652</v>
      </c>
      <c r="D12" s="15" t="s">
        <v>653</v>
      </c>
      <c r="E12" s="15" t="str">
        <f t="shared" ref="E12:K12" si="4">E2</f>
        <v>2021-01</v>
      </c>
      <c r="F12" s="15" t="str">
        <f t="shared" si="4"/>
        <v>2021-02</v>
      </c>
      <c r="G12" s="15" t="str">
        <f t="shared" si="4"/>
        <v>2021-03</v>
      </c>
      <c r="H12" s="15" t="str">
        <f t="shared" si="4"/>
        <v>2021-04</v>
      </c>
      <c r="I12" s="15" t="str">
        <f t="shared" si="4"/>
        <v>2021-05</v>
      </c>
      <c r="J12" s="15" t="str">
        <f t="shared" si="4"/>
        <v>2021-06</v>
      </c>
      <c r="K12" s="15" t="str">
        <f t="shared" si="4"/>
        <v>2021-07</v>
      </c>
      <c r="L12" s="14"/>
      <c r="M12" s="14"/>
      <c r="N12" s="14"/>
      <c r="O12" s="14"/>
      <c r="P12" s="14"/>
      <c r="Q12" s="32"/>
      <c r="R12" s="14"/>
      <c r="S12" s="14"/>
      <c r="T12" s="14"/>
      <c r="U12" s="14"/>
    </row>
    <row r="13" ht="15.75" customHeight="1">
      <c r="A13" s="14"/>
      <c r="B13" s="14"/>
      <c r="C13" s="23" t="s">
        <v>647</v>
      </c>
      <c r="D13" s="33" t="str">
        <f>MODEL!B22</f>
        <v>classe_HSPA</v>
      </c>
      <c r="E13" s="34">
        <f>MODEL!AI33</f>
        <v>0.02951413542</v>
      </c>
      <c r="F13" s="34">
        <f>MODEL!AJ33</f>
        <v>0.1190992786</v>
      </c>
      <c r="G13" s="34">
        <f>MODEL!AK33</f>
        <v>0.05432451809</v>
      </c>
      <c r="H13" s="34">
        <f>MODEL!AL33</f>
        <v>0.01584569106</v>
      </c>
      <c r="I13" s="34">
        <f>MODEL!AM33</f>
        <v>0.02044781469</v>
      </c>
      <c r="J13" s="34">
        <f>MODEL!AN33</f>
        <v>0.03869015188</v>
      </c>
      <c r="K13" s="34">
        <f>MODEL!AO33</f>
        <v>0.06259269584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</row>
    <row r="14" ht="15.75" customHeight="1">
      <c r="A14" s="14"/>
      <c r="B14" s="14"/>
      <c r="C14" s="35"/>
      <c r="D14" s="33" t="str">
        <f>MODEL!B36</f>
        <v>classe_idade</v>
      </c>
      <c r="E14" s="34">
        <f>MODEL!AI44</f>
        <v>0.1240448014</v>
      </c>
      <c r="F14" s="34">
        <f>MODEL!AJ44</f>
        <v>0.1068106358</v>
      </c>
      <c r="G14" s="34">
        <f>MODEL!AK44</f>
        <v>0.09243143886</v>
      </c>
      <c r="H14" s="34">
        <f>MODEL!AL44</f>
        <v>0.1621626858</v>
      </c>
      <c r="I14" s="34">
        <f>MODEL!AM44</f>
        <v>0.1189406928</v>
      </c>
      <c r="J14" s="34">
        <f>MODEL!AN44</f>
        <v>0.1189786078</v>
      </c>
      <c r="K14" s="34">
        <f>MODEL!AO44</f>
        <v>0.07323696131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ht="15.75" customHeight="1">
      <c r="A15" s="14"/>
      <c r="B15" s="14"/>
      <c r="C15" s="36"/>
      <c r="D15" s="33" t="str">
        <f>MODEL!B47</f>
        <v>classe_ddd_state</v>
      </c>
      <c r="E15" s="34">
        <f>MODEL!AI56</f>
        <v>0.3396335558</v>
      </c>
      <c r="F15" s="34">
        <f>MODEL!AJ56</f>
        <v>0.3480698526</v>
      </c>
      <c r="G15" s="34">
        <f>MODEL!AK56</f>
        <v>0.107150813</v>
      </c>
      <c r="H15" s="34">
        <f>MODEL!AL56</f>
        <v>0.05989488074</v>
      </c>
      <c r="I15" s="34">
        <f>MODEL!AM56</f>
        <v>0.1120442159</v>
      </c>
      <c r="J15" s="34">
        <f>MODEL!AN56</f>
        <v>0.1488278508</v>
      </c>
      <c r="K15" s="34">
        <f>MODEL!AO56</f>
        <v>0.1681531807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</row>
    <row r="16" ht="15.75" customHeight="1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ht="15.75" customHeight="1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</row>
    <row r="18" ht="15.75" customHeight="1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ht="15.75" customHeight="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</row>
    <row r="20" ht="15.75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ht="15.75" customHeigh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</row>
    <row r="22" ht="15.75" customHeight="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ht="15.75" customHeight="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</row>
    <row r="24" ht="15.75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</row>
    <row r="25" ht="15.75" customHeight="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</row>
    <row r="26" ht="6.75" customHeight="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</row>
    <row r="27" ht="15.7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ht="15.7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ht="15.75" customHeight="1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ht="15.7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ht="15.75" customHeight="1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ht="15.75" customHeight="1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ht="15.75" customHeight="1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</row>
    <row r="34" ht="15.75" customHeight="1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ht="15.75" customHeight="1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ht="15.75" customHeight="1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ht="15.75" customHeight="1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ht="15.75" customHeight="1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ht="15.75" customHeight="1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ht="15.75" customHeight="1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ht="15.75" customHeight="1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ht="15.75" customHeight="1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ht="15.75" customHeight="1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ht="15.75" customHeight="1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ht="15.75" customHeight="1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ht="15.75" customHeight="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ht="15.75" customHeight="1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ht="15.75" customHeight="1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ht="15.75" customHeight="1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ht="15.75" customHeight="1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ht="15.7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ht="15.75" customHeight="1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ht="15.75" customHeight="1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ht="15.75" customHeight="1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ht="15.75" customHeight="1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ht="15.75" customHeight="1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ht="15.75" customHeight="1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ht="15.75" customHeight="1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ht="15.75" customHeight="1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ht="15.75" customHeight="1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ht="15.75" customHeight="1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ht="15.75" customHeight="1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ht="15.75" customHeight="1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ht="15.75" customHeight="1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ht="15.75" customHeight="1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ht="15.75" customHeight="1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ht="15.75" customHeight="1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ht="15.75" customHeight="1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ht="15.75" customHeight="1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ht="15.75" customHeight="1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ht="15.75" customHeight="1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ht="15.75" customHeight="1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ht="15.75" customHeight="1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ht="15.75" customHeight="1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  <row r="8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</row>
    <row r="90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</row>
    <row r="91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</row>
    <row r="92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</row>
    <row r="93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</row>
    <row r="94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</row>
    <row r="95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</row>
    <row r="96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</row>
    <row r="97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</row>
    <row r="98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</row>
    <row r="9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</row>
    <row r="100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</row>
    <row r="101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</row>
    <row r="102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</row>
    <row r="103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</row>
    <row r="104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</row>
    <row r="105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</row>
    <row r="106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</row>
    <row r="107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</row>
    <row r="108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</row>
    <row r="10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</row>
    <row r="110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</row>
    <row r="111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</row>
    <row r="112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</row>
    <row r="113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</row>
    <row r="114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</row>
    <row r="115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</row>
    <row r="116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</row>
    <row r="117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</row>
    <row r="118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</row>
    <row r="11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</row>
    <row r="120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</row>
    <row r="121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</row>
    <row r="122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</row>
    <row r="123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</row>
    <row r="124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</row>
    <row r="125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</row>
    <row r="126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</row>
    <row r="127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</row>
    <row r="128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</row>
    <row r="1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</row>
    <row r="130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</row>
    <row r="131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</row>
    <row r="132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</row>
    <row r="133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</row>
    <row r="134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</row>
    <row r="135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</row>
    <row r="136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</row>
    <row r="137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</row>
    <row r="138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</row>
    <row r="13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</row>
    <row r="140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</row>
    <row r="141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</row>
    <row r="142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</row>
    <row r="143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</row>
    <row r="144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</row>
    <row r="145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</row>
    <row r="146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</row>
    <row r="147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</row>
    <row r="148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</row>
    <row r="14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</row>
    <row r="150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</row>
    <row r="151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</row>
    <row r="152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</row>
    <row r="153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</row>
    <row r="154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</row>
    <row r="155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</row>
    <row r="15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</row>
    <row r="1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</row>
    <row r="158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</row>
    <row r="15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</row>
    <row r="160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</row>
    <row r="161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</row>
    <row r="16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</row>
    <row r="163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</row>
    <row r="164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</row>
    <row r="165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</row>
    <row r="16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</row>
    <row r="16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</row>
    <row r="168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</row>
    <row r="16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</row>
    <row r="170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</row>
    <row r="171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</row>
    <row r="17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</row>
    <row r="173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</row>
    <row r="174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</row>
    <row r="175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</row>
    <row r="17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</row>
    <row r="17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</row>
    <row r="178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</row>
    <row r="17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</row>
    <row r="180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</row>
    <row r="181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</row>
    <row r="18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</row>
    <row r="183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</row>
    <row r="184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</row>
    <row r="185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</row>
    <row r="18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</row>
    <row r="18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</row>
    <row r="188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</row>
    <row r="18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</row>
    <row r="190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</row>
    <row r="191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</row>
    <row r="19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</row>
    <row r="193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</row>
    <row r="194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</row>
    <row r="195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</row>
    <row r="19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</row>
    <row r="19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</row>
    <row r="198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</row>
    <row r="19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</row>
    <row r="200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</row>
    <row r="201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</row>
    <row r="20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</row>
    <row r="203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</row>
    <row r="204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</row>
    <row r="205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</row>
    <row r="20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</row>
    <row r="20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</row>
    <row r="208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</row>
    <row r="20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</row>
    <row r="210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</row>
    <row r="211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</row>
    <row r="21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</row>
    <row r="213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</row>
    <row r="214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</row>
    <row r="215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</row>
    <row r="21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</row>
    <row r="21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</row>
    <row r="218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</row>
    <row r="21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</row>
    <row r="220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</row>
    <row r="221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</row>
    <row r="22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</row>
    <row r="223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</row>
    <row r="224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</row>
    <row r="225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</row>
    <row r="2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</row>
    <row r="22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</row>
    <row r="228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</row>
    <row r="2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</row>
    <row r="230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</row>
    <row r="231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</row>
    <row r="23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</row>
    <row r="233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</row>
    <row r="234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</row>
    <row r="235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</row>
    <row r="23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</row>
    <row r="23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</row>
    <row r="238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</row>
    <row r="23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</row>
    <row r="240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</row>
    <row r="241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</row>
    <row r="24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</row>
    <row r="243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</row>
    <row r="244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</row>
    <row r="245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</row>
    <row r="24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</row>
    <row r="24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</row>
    <row r="248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</row>
    <row r="24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</row>
    <row r="250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</row>
    <row r="251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</row>
    <row r="2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</row>
    <row r="253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</row>
    <row r="254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</row>
    <row r="255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</row>
    <row r="25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</row>
    <row r="2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</row>
    <row r="258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</row>
    <row r="25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</row>
    <row r="260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</row>
    <row r="261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</row>
    <row r="26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</row>
    <row r="263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</row>
    <row r="264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</row>
    <row r="265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</row>
    <row r="26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</row>
    <row r="26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</row>
    <row r="268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</row>
    <row r="26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</row>
    <row r="270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</row>
    <row r="271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</row>
    <row r="27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</row>
    <row r="273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</row>
    <row r="274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</row>
    <row r="275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</row>
    <row r="27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</row>
    <row r="27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</row>
    <row r="278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</row>
    <row r="27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</row>
    <row r="280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</row>
    <row r="281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</row>
    <row r="28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</row>
    <row r="283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</row>
    <row r="284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</row>
    <row r="285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</row>
    <row r="28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</row>
    <row r="28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</row>
    <row r="288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</row>
    <row r="28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</row>
    <row r="290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</row>
    <row r="291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</row>
    <row r="29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</row>
    <row r="293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</row>
    <row r="294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</row>
    <row r="295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</row>
    <row r="29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</row>
    <row r="29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</row>
    <row r="298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</row>
    <row r="29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</row>
    <row r="300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</row>
    <row r="301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</row>
    <row r="30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</row>
    <row r="303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</row>
    <row r="304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</row>
    <row r="305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</row>
    <row r="30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</row>
    <row r="30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</row>
    <row r="308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</row>
    <row r="30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</row>
    <row r="310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</row>
    <row r="311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</row>
    <row r="31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</row>
    <row r="313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</row>
    <row r="314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</row>
    <row r="315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</row>
    <row r="31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</row>
    <row r="31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</row>
    <row r="318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</row>
    <row r="31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</row>
    <row r="320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</row>
    <row r="321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</row>
    <row r="32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</row>
    <row r="323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</row>
    <row r="324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</row>
    <row r="325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</row>
    <row r="3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</row>
    <row r="32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</row>
    <row r="328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</row>
    <row r="3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</row>
    <row r="330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</row>
    <row r="331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</row>
    <row r="33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</row>
    <row r="333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</row>
    <row r="334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</row>
    <row r="335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</row>
    <row r="33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</row>
    <row r="33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</row>
    <row r="338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</row>
    <row r="33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</row>
    <row r="340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</row>
    <row r="341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</row>
    <row r="34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</row>
    <row r="343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</row>
    <row r="344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</row>
    <row r="345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</row>
    <row r="34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</row>
    <row r="34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</row>
    <row r="348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</row>
    <row r="34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</row>
    <row r="350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</row>
    <row r="351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</row>
    <row r="3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</row>
    <row r="353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</row>
    <row r="354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</row>
    <row r="355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</row>
    <row r="35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</row>
    <row r="3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</row>
    <row r="358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</row>
    <row r="35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</row>
    <row r="360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</row>
    <row r="361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</row>
    <row r="36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</row>
    <row r="363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</row>
    <row r="364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</row>
    <row r="365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</row>
    <row r="36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</row>
    <row r="36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</row>
    <row r="368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</row>
    <row r="36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</row>
    <row r="370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</row>
    <row r="371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</row>
    <row r="37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</row>
    <row r="373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</row>
    <row r="374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</row>
    <row r="375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</row>
    <row r="37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</row>
    <row r="37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</row>
    <row r="378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</row>
    <row r="37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</row>
    <row r="380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</row>
    <row r="381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</row>
    <row r="38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</row>
    <row r="383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</row>
    <row r="384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</row>
    <row r="385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</row>
    <row r="38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</row>
    <row r="38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</row>
    <row r="388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</row>
    <row r="38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</row>
    <row r="390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</row>
    <row r="391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</row>
    <row r="39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</row>
    <row r="393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</row>
    <row r="394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</row>
    <row r="395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</row>
    <row r="39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</row>
    <row r="39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</row>
    <row r="398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</row>
    <row r="39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</row>
    <row r="400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</row>
    <row r="401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</row>
    <row r="40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</row>
    <row r="403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</row>
    <row r="404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</row>
    <row r="405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</row>
    <row r="40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</row>
    <row r="40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</row>
    <row r="408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</row>
    <row r="40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</row>
    <row r="410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</row>
    <row r="411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</row>
    <row r="41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</row>
    <row r="413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</row>
    <row r="414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</row>
    <row r="415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</row>
    <row r="41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</row>
    <row r="41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</row>
    <row r="418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</row>
    <row r="41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</row>
    <row r="420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</row>
    <row r="421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</row>
    <row r="42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</row>
    <row r="423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</row>
    <row r="424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</row>
    <row r="425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</row>
    <row r="4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</row>
    <row r="42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</row>
    <row r="428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</row>
    <row r="4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</row>
    <row r="430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</row>
    <row r="431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</row>
    <row r="43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</row>
    <row r="433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</row>
    <row r="434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</row>
    <row r="435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</row>
    <row r="43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</row>
    <row r="43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</row>
    <row r="438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</row>
    <row r="43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</row>
    <row r="440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</row>
    <row r="441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</row>
    <row r="44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</row>
    <row r="443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</row>
    <row r="444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</row>
    <row r="445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</row>
    <row r="44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</row>
    <row r="44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</row>
    <row r="448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</row>
    <row r="44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</row>
    <row r="450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</row>
    <row r="451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</row>
    <row r="4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</row>
    <row r="453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</row>
    <row r="454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</row>
    <row r="455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</row>
    <row r="45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</row>
    <row r="4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</row>
    <row r="458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</row>
    <row r="45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</row>
    <row r="460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</row>
    <row r="461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</row>
    <row r="46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</row>
    <row r="463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</row>
    <row r="464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</row>
    <row r="465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</row>
    <row r="46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</row>
    <row r="46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</row>
    <row r="468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</row>
    <row r="46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</row>
    <row r="470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</row>
    <row r="471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</row>
    <row r="47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</row>
    <row r="473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</row>
    <row r="474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</row>
    <row r="475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</row>
    <row r="47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</row>
    <row r="47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</row>
    <row r="478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</row>
    <row r="47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</row>
    <row r="480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</row>
    <row r="481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</row>
    <row r="48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</row>
    <row r="483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</row>
    <row r="484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</row>
    <row r="485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</row>
    <row r="48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</row>
    <row r="48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</row>
    <row r="488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</row>
    <row r="48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</row>
    <row r="490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</row>
    <row r="491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</row>
    <row r="49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</row>
    <row r="493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</row>
    <row r="494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</row>
    <row r="495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</row>
    <row r="49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</row>
    <row r="49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</row>
    <row r="498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</row>
    <row r="49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</row>
    <row r="500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</row>
    <row r="501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</row>
    <row r="50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</row>
    <row r="503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</row>
    <row r="504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</row>
    <row r="505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</row>
    <row r="50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</row>
    <row r="50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</row>
    <row r="508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</row>
    <row r="50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</row>
    <row r="510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</row>
    <row r="511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</row>
    <row r="51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</row>
    <row r="513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</row>
    <row r="514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</row>
    <row r="515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</row>
    <row r="51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</row>
    <row r="51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</row>
    <row r="518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</row>
    <row r="51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</row>
    <row r="520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</row>
    <row r="521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</row>
    <row r="52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</row>
    <row r="523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</row>
    <row r="524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</row>
    <row r="525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</row>
    <row r="5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</row>
    <row r="52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</row>
    <row r="528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</row>
    <row r="5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</row>
    <row r="530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</row>
    <row r="531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</row>
    <row r="53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</row>
    <row r="533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</row>
    <row r="534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</row>
    <row r="535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</row>
    <row r="53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</row>
    <row r="53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</row>
    <row r="538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</row>
    <row r="53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</row>
    <row r="540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</row>
    <row r="541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</row>
    <row r="54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</row>
    <row r="543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</row>
    <row r="544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</row>
    <row r="545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</row>
    <row r="54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</row>
    <row r="54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</row>
    <row r="548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</row>
    <row r="54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</row>
    <row r="550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</row>
    <row r="551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</row>
    <row r="5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</row>
    <row r="553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</row>
    <row r="554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</row>
    <row r="555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</row>
    <row r="55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</row>
    <row r="5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</row>
    <row r="558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</row>
    <row r="55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</row>
    <row r="560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</row>
    <row r="561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</row>
    <row r="56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</row>
    <row r="563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</row>
    <row r="564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</row>
    <row r="565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</row>
    <row r="56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</row>
    <row r="56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</row>
    <row r="568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</row>
    <row r="56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</row>
    <row r="570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</row>
    <row r="571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</row>
    <row r="57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</row>
    <row r="573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</row>
    <row r="574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</row>
    <row r="575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</row>
    <row r="57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</row>
    <row r="57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</row>
    <row r="578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</row>
    <row r="57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</row>
    <row r="580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</row>
    <row r="581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</row>
    <row r="58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</row>
    <row r="583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</row>
    <row r="584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</row>
    <row r="585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</row>
    <row r="58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</row>
    <row r="58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</row>
    <row r="588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</row>
    <row r="58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</row>
    <row r="590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</row>
    <row r="591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</row>
    <row r="59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</row>
    <row r="593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</row>
    <row r="594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</row>
    <row r="595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</row>
    <row r="59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</row>
    <row r="59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</row>
    <row r="598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</row>
    <row r="59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</row>
    <row r="600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</row>
    <row r="601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</row>
    <row r="60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</row>
    <row r="603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</row>
    <row r="604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</row>
    <row r="605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</row>
    <row r="60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</row>
    <row r="60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</row>
    <row r="608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</row>
    <row r="60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</row>
    <row r="610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</row>
    <row r="611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</row>
    <row r="61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</row>
    <row r="613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</row>
    <row r="614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</row>
    <row r="615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</row>
    <row r="61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</row>
    <row r="61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</row>
    <row r="618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</row>
    <row r="61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</row>
    <row r="620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</row>
    <row r="621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</row>
    <row r="62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</row>
    <row r="623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</row>
    <row r="624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</row>
    <row r="625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</row>
    <row r="6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</row>
    <row r="62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</row>
    <row r="628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</row>
    <row r="6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</row>
    <row r="630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</row>
    <row r="631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</row>
    <row r="63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</row>
    <row r="633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</row>
    <row r="634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</row>
    <row r="635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</row>
    <row r="63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</row>
    <row r="63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</row>
    <row r="638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</row>
    <row r="63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</row>
    <row r="640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</row>
    <row r="641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</row>
    <row r="64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</row>
    <row r="643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</row>
    <row r="644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</row>
    <row r="645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</row>
    <row r="64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</row>
    <row r="64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</row>
    <row r="648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</row>
    <row r="64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</row>
    <row r="650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</row>
    <row r="651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</row>
    <row r="6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</row>
    <row r="653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</row>
    <row r="654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</row>
    <row r="655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</row>
    <row r="65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</row>
    <row r="6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</row>
    <row r="658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</row>
    <row r="65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</row>
    <row r="660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</row>
    <row r="661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</row>
    <row r="66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</row>
    <row r="663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</row>
    <row r="664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</row>
    <row r="665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</row>
    <row r="66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</row>
    <row r="66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</row>
    <row r="668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</row>
    <row r="66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</row>
    <row r="670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</row>
    <row r="671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</row>
    <row r="67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</row>
    <row r="673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</row>
    <row r="674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</row>
    <row r="675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</row>
    <row r="67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</row>
    <row r="67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</row>
    <row r="678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</row>
    <row r="67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</row>
    <row r="680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</row>
    <row r="681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</row>
    <row r="68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</row>
    <row r="683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</row>
    <row r="684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</row>
    <row r="685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</row>
    <row r="68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</row>
    <row r="68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</row>
    <row r="688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</row>
    <row r="68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</row>
    <row r="690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</row>
    <row r="691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</row>
    <row r="69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</row>
    <row r="693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</row>
    <row r="694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</row>
    <row r="695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</row>
    <row r="69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</row>
    <row r="69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</row>
    <row r="698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</row>
    <row r="69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</row>
    <row r="700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</row>
    <row r="701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</row>
    <row r="70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</row>
    <row r="703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</row>
    <row r="704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</row>
    <row r="705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</row>
    <row r="70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</row>
    <row r="70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</row>
    <row r="708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</row>
    <row r="70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</row>
    <row r="710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</row>
    <row r="711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</row>
    <row r="71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</row>
    <row r="713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</row>
    <row r="714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</row>
    <row r="715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</row>
    <row r="71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</row>
    <row r="71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</row>
    <row r="718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</row>
    <row r="71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</row>
    <row r="720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</row>
    <row r="721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</row>
    <row r="72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</row>
    <row r="723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</row>
    <row r="724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</row>
    <row r="725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</row>
    <row r="7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</row>
    <row r="72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</row>
    <row r="728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</row>
    <row r="7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</row>
    <row r="730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</row>
    <row r="731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</row>
    <row r="73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</row>
    <row r="733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</row>
    <row r="734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</row>
    <row r="735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</row>
    <row r="73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</row>
    <row r="73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</row>
    <row r="738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</row>
    <row r="73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</row>
    <row r="740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</row>
    <row r="741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</row>
    <row r="74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</row>
    <row r="743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</row>
    <row r="744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</row>
    <row r="745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</row>
    <row r="74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</row>
    <row r="74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</row>
    <row r="748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</row>
    <row r="74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</row>
    <row r="750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</row>
    <row r="751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</row>
    <row r="7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</row>
    <row r="753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</row>
    <row r="754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</row>
    <row r="755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</row>
    <row r="75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</row>
    <row r="7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</row>
    <row r="758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</row>
    <row r="75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</row>
    <row r="760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</row>
    <row r="761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</row>
    <row r="76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</row>
    <row r="763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</row>
    <row r="764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</row>
    <row r="765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</row>
    <row r="76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</row>
    <row r="76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</row>
    <row r="768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</row>
    <row r="76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</row>
    <row r="770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</row>
    <row r="771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</row>
    <row r="77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</row>
    <row r="773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</row>
    <row r="774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</row>
    <row r="775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</row>
    <row r="77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</row>
    <row r="77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</row>
    <row r="778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</row>
    <row r="77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</row>
    <row r="780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</row>
    <row r="781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</row>
    <row r="78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</row>
    <row r="783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</row>
    <row r="784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</row>
    <row r="785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</row>
    <row r="78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</row>
    <row r="78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</row>
    <row r="788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</row>
    <row r="78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</row>
    <row r="790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</row>
    <row r="791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</row>
    <row r="79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</row>
    <row r="793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</row>
    <row r="794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</row>
    <row r="795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</row>
    <row r="79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</row>
    <row r="79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</row>
    <row r="798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</row>
    <row r="79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</row>
    <row r="800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</row>
    <row r="801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</row>
    <row r="80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</row>
    <row r="803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</row>
    <row r="804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</row>
    <row r="805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</row>
    <row r="80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</row>
    <row r="80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</row>
    <row r="808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</row>
    <row r="80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</row>
    <row r="810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</row>
    <row r="811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</row>
    <row r="81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</row>
    <row r="813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</row>
    <row r="814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</row>
    <row r="815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</row>
    <row r="81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</row>
    <row r="81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</row>
    <row r="818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</row>
    <row r="81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</row>
    <row r="820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</row>
    <row r="821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</row>
    <row r="82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</row>
    <row r="823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</row>
    <row r="824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</row>
    <row r="825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</row>
    <row r="8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</row>
    <row r="82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</row>
    <row r="828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</row>
    <row r="8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</row>
    <row r="830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</row>
    <row r="831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</row>
    <row r="83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</row>
    <row r="833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</row>
    <row r="834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</row>
    <row r="835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</row>
    <row r="83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</row>
    <row r="83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</row>
    <row r="838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</row>
    <row r="83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</row>
    <row r="840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</row>
    <row r="841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</row>
    <row r="84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</row>
    <row r="843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</row>
    <row r="844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</row>
    <row r="845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</row>
    <row r="84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</row>
    <row r="84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</row>
    <row r="848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</row>
    <row r="84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</row>
    <row r="850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</row>
    <row r="851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</row>
    <row r="8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</row>
    <row r="853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</row>
    <row r="854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</row>
    <row r="855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</row>
    <row r="85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</row>
    <row r="8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</row>
    <row r="858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</row>
    <row r="85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</row>
    <row r="860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</row>
    <row r="861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</row>
    <row r="86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</row>
    <row r="863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</row>
    <row r="864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</row>
    <row r="865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</row>
    <row r="86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</row>
    <row r="86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</row>
    <row r="868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</row>
    <row r="86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</row>
    <row r="870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</row>
    <row r="871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</row>
    <row r="87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</row>
    <row r="873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</row>
    <row r="874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</row>
    <row r="875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</row>
    <row r="87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</row>
    <row r="87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</row>
    <row r="878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</row>
    <row r="87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</row>
    <row r="880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</row>
    <row r="881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</row>
    <row r="88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</row>
    <row r="883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</row>
    <row r="884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</row>
    <row r="885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</row>
    <row r="88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</row>
    <row r="88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</row>
    <row r="888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</row>
    <row r="88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</row>
    <row r="890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</row>
    <row r="891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</row>
    <row r="89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</row>
    <row r="893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</row>
    <row r="894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</row>
    <row r="895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</row>
    <row r="89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</row>
    <row r="89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</row>
    <row r="898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</row>
    <row r="89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</row>
    <row r="900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</row>
    <row r="901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</row>
    <row r="90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</row>
    <row r="903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</row>
    <row r="904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</row>
    <row r="905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</row>
    <row r="90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</row>
    <row r="90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</row>
    <row r="908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</row>
    <row r="90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</row>
    <row r="910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</row>
    <row r="911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</row>
    <row r="91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</row>
    <row r="913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</row>
    <row r="914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</row>
    <row r="915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</row>
    <row r="91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</row>
    <row r="91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</row>
    <row r="918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</row>
    <row r="91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</row>
    <row r="920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</row>
    <row r="921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</row>
    <row r="92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</row>
    <row r="923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</row>
    <row r="924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</row>
    <row r="925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</row>
    <row r="9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</row>
    <row r="92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</row>
    <row r="928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</row>
    <row r="9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</row>
    <row r="930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</row>
    <row r="931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</row>
    <row r="93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</row>
    <row r="933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</row>
    <row r="934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</row>
    <row r="935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</row>
    <row r="93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</row>
    <row r="93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</row>
    <row r="938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</row>
    <row r="93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</row>
    <row r="940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</row>
    <row r="941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</row>
    <row r="94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</row>
    <row r="943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</row>
    <row r="944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</row>
    <row r="945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</row>
    <row r="94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</row>
    <row r="94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</row>
    <row r="948" ht="15.75" customHeight="1">
      <c r="A948" s="14"/>
      <c r="B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</row>
    <row r="949" ht="15.75" customHeight="1">
      <c r="A949" s="14"/>
      <c r="B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</row>
    <row r="950" ht="15.75" customHeight="1">
      <c r="A950" s="14"/>
      <c r="B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</row>
    <row r="951" ht="15.75" customHeight="1">
      <c r="A951" s="14"/>
      <c r="B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</row>
    <row r="952" ht="15.75" customHeight="1">
      <c r="A952" s="14"/>
      <c r="B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</row>
    <row r="953" ht="15.75" customHeight="1">
      <c r="A953" s="14"/>
      <c r="B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</row>
    <row r="954" ht="15.75" customHeight="1">
      <c r="A954" s="14"/>
      <c r="B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</row>
    <row r="955" ht="15.75" customHeight="1">
      <c r="A955" s="14"/>
      <c r="B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</row>
    <row r="956" ht="15.75" customHeight="1">
      <c r="A956" s="14"/>
      <c r="B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</row>
    <row r="957" ht="15.75" customHeight="1">
      <c r="A957" s="14"/>
      <c r="B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</row>
  </sheetData>
  <mergeCells count="3">
    <mergeCell ref="B5:D5"/>
    <mergeCell ref="B6:B8"/>
    <mergeCell ref="C6:C8"/>
  </mergeCells>
  <conditionalFormatting sqref="E3:K3 E13:K15">
    <cfRule type="cellIs" dxfId="0" priority="1" operator="greaterThanOrEqual">
      <formula>0.25</formula>
    </cfRule>
  </conditionalFormatting>
  <conditionalFormatting sqref="E3:K3 E13:K15">
    <cfRule type="cellIs" dxfId="1" priority="2" operator="between">
      <formula>0.1</formula>
      <formula>0.25</formula>
    </cfRule>
  </conditionalFormatting>
  <conditionalFormatting sqref="E3:K3 E13:K15">
    <cfRule type="cellIs" dxfId="2" priority="3" operator="lessThanOrEqual">
      <formula>0.1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B6D7A8"/>
    <pageSetUpPr/>
  </sheetPr>
  <sheetViews>
    <sheetView showGridLines="0" workbookViewId="0">
      <pane xSplit="5.0" topLeftCell="F1" activePane="topRight" state="frozen"/>
      <selection activeCell="G2" sqref="G2" pane="topRight"/>
    </sheetView>
  </sheetViews>
  <sheetFormatPr customHeight="1" defaultColWidth="12.63" defaultRowHeight="15.0" outlineLevelCol="1"/>
  <cols>
    <col customWidth="1" min="1" max="1" width="3.13"/>
    <col customWidth="1" min="2" max="2" width="40.0"/>
    <col customWidth="1" min="3" max="4" width="10.25"/>
    <col customWidth="1" min="5" max="5" width="1.25"/>
    <col customWidth="1" min="6" max="18" width="10.25" outlineLevel="1"/>
    <col customWidth="1" min="19" max="19" width="1.25" outlineLevel="1"/>
    <col customWidth="1" min="20" max="32" width="10.25"/>
    <col customWidth="1" min="33" max="33" width="1.25"/>
    <col customWidth="1" min="34" max="46" width="10.25"/>
  </cols>
  <sheetData>
    <row r="1">
      <c r="A1" s="14"/>
      <c r="B1" s="14"/>
      <c r="C1" s="14"/>
      <c r="D1" s="14"/>
      <c r="E1" s="37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37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37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</row>
    <row r="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</row>
    <row r="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ht="8.25" customHeight="1">
      <c r="A5" s="14"/>
      <c r="B5" s="38" t="s">
        <v>654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ht="8.25" customHeight="1">
      <c r="A6" s="14"/>
      <c r="B6" s="39" t="s">
        <v>595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>
      <c r="A7" s="14"/>
      <c r="B7" s="14"/>
      <c r="C7" s="14"/>
      <c r="D7" s="14"/>
      <c r="E7" s="14"/>
      <c r="F7" s="40" t="s">
        <v>655</v>
      </c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2"/>
      <c r="S7" s="14"/>
      <c r="T7" s="40" t="s">
        <v>656</v>
      </c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14"/>
      <c r="AH7" s="40" t="s">
        <v>657</v>
      </c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2"/>
    </row>
    <row r="8">
      <c r="A8" s="14"/>
      <c r="B8" s="41" t="s">
        <v>602</v>
      </c>
      <c r="C8" s="15" t="s">
        <v>596</v>
      </c>
      <c r="D8" s="15" t="s">
        <v>596</v>
      </c>
      <c r="E8" s="14"/>
      <c r="F8" s="15" t="s">
        <v>601</v>
      </c>
      <c r="G8" s="42" t="s">
        <v>643</v>
      </c>
      <c r="H8" s="15" t="s">
        <v>644</v>
      </c>
      <c r="I8" s="15" t="s">
        <v>630</v>
      </c>
      <c r="J8" s="15" t="s">
        <v>629</v>
      </c>
      <c r="K8" s="15" t="s">
        <v>645</v>
      </c>
      <c r="L8" s="15" t="s">
        <v>628</v>
      </c>
      <c r="M8" s="15" t="s">
        <v>646</v>
      </c>
      <c r="N8" s="15" t="s">
        <v>658</v>
      </c>
      <c r="O8" s="15" t="s">
        <v>659</v>
      </c>
      <c r="P8" s="15" t="s">
        <v>660</v>
      </c>
      <c r="Q8" s="15" t="s">
        <v>661</v>
      </c>
      <c r="R8" s="15" t="s">
        <v>662</v>
      </c>
      <c r="S8" s="14"/>
      <c r="T8" s="15" t="s">
        <v>601</v>
      </c>
      <c r="U8" s="15" t="str">
        <f t="shared" ref="U8:AF8" si="1">G8</f>
        <v>2021-01</v>
      </c>
      <c r="V8" s="15" t="str">
        <f t="shared" si="1"/>
        <v>2021-02</v>
      </c>
      <c r="W8" s="15" t="str">
        <f t="shared" si="1"/>
        <v>2021-03</v>
      </c>
      <c r="X8" s="15" t="str">
        <f t="shared" si="1"/>
        <v>2021-04</v>
      </c>
      <c r="Y8" s="15" t="str">
        <f t="shared" si="1"/>
        <v>2021-05</v>
      </c>
      <c r="Z8" s="15" t="str">
        <f t="shared" si="1"/>
        <v>2021-06</v>
      </c>
      <c r="AA8" s="15" t="str">
        <f t="shared" si="1"/>
        <v>2021-07</v>
      </c>
      <c r="AB8" s="15" t="str">
        <f t="shared" si="1"/>
        <v>2021-08</v>
      </c>
      <c r="AC8" s="15" t="str">
        <f t="shared" si="1"/>
        <v>2021-09</v>
      </c>
      <c r="AD8" s="15" t="str">
        <f t="shared" si="1"/>
        <v>2021-10</v>
      </c>
      <c r="AE8" s="15" t="str">
        <f t="shared" si="1"/>
        <v>2021-11</v>
      </c>
      <c r="AF8" s="15" t="str">
        <f t="shared" si="1"/>
        <v>2021-12</v>
      </c>
      <c r="AG8" s="14"/>
      <c r="AH8" s="15" t="s">
        <v>601</v>
      </c>
      <c r="AI8" s="15" t="str">
        <f t="shared" ref="AI8:AT8" si="2">U8</f>
        <v>2021-01</v>
      </c>
      <c r="AJ8" s="15" t="str">
        <f t="shared" si="2"/>
        <v>2021-02</v>
      </c>
      <c r="AK8" s="15" t="str">
        <f t="shared" si="2"/>
        <v>2021-03</v>
      </c>
      <c r="AL8" s="15" t="str">
        <f t="shared" si="2"/>
        <v>2021-04</v>
      </c>
      <c r="AM8" s="15" t="str">
        <f t="shared" si="2"/>
        <v>2021-05</v>
      </c>
      <c r="AN8" s="15" t="str">
        <f t="shared" si="2"/>
        <v>2021-06</v>
      </c>
      <c r="AO8" s="15" t="str">
        <f t="shared" si="2"/>
        <v>2021-07</v>
      </c>
      <c r="AP8" s="15" t="str">
        <f t="shared" si="2"/>
        <v>2021-08</v>
      </c>
      <c r="AQ8" s="15" t="str">
        <f t="shared" si="2"/>
        <v>2021-09</v>
      </c>
      <c r="AR8" s="15" t="str">
        <f t="shared" si="2"/>
        <v>2021-10</v>
      </c>
      <c r="AS8" s="15" t="str">
        <f t="shared" si="2"/>
        <v>2021-11</v>
      </c>
      <c r="AT8" s="15" t="str">
        <f t="shared" si="2"/>
        <v>2021-12</v>
      </c>
    </row>
    <row r="9">
      <c r="A9" s="14"/>
      <c r="B9" s="43" t="s">
        <v>603</v>
      </c>
      <c r="C9" s="44">
        <f>SUMIFS(CUBE!$E:$E,CUBE!$A:$A,$B$6,CUBE!$B:$B,C$8,CUBE!$C:$C,$B$8,CUBE!$D:$D,$B9)</f>
        <v>5224</v>
      </c>
      <c r="D9" s="45">
        <f t="shared" ref="D9:D19" si="5">C9/C$19</f>
        <v>0.1003592492</v>
      </c>
      <c r="E9" s="14"/>
      <c r="F9" s="44">
        <f>SUMIFS(CUBE!$E:$E,CUBE!$A:$A,$B$6,CUBE!$B:$B,F$8,CUBE!$C:$C,$B$8,CUBE!$D:$D,$B9)</f>
        <v>8010</v>
      </c>
      <c r="G9" s="44">
        <f>SUMIFS(CUBE!$E:$E,CUBE!$A:$A,$B$6,CUBE!$B:$B,G$8,CUBE!$C:$C,$B$8,CUBE!$D:$D,$B9)</f>
        <v>83759</v>
      </c>
      <c r="H9" s="44">
        <f>SUMIFS(CUBE!$E:$E,CUBE!$A:$A,$B$6,CUBE!$B:$B,H$8,CUBE!$C:$C,$B$8,CUBE!$D:$D,$B9)</f>
        <v>228033</v>
      </c>
      <c r="I9" s="44">
        <f>SUMIFS(CUBE!$E:$E,CUBE!$A:$A,$B$6,CUBE!$B:$B,I$8,CUBE!$C:$C,$B$8,CUBE!$D:$D,$B9)</f>
        <v>144037</v>
      </c>
      <c r="J9" s="44">
        <f>SUMIFS(CUBE!$E:$E,CUBE!$A:$A,$B$6,CUBE!$B:$B,J$8,CUBE!$C:$C,$B$8,CUBE!$D:$D,$B9)</f>
        <v>98218</v>
      </c>
      <c r="K9" s="44">
        <f>SUMIFS(CUBE!$E:$E,CUBE!$A:$A,$B$6,CUBE!$B:$B,K$8,CUBE!$C:$C,$B$8,CUBE!$D:$D,$B9)</f>
        <v>60491</v>
      </c>
      <c r="L9" s="44">
        <f>SUMIFS(CUBE!$E:$E,CUBE!$A:$A,$B$6,CUBE!$B:$B,L$8,CUBE!$C:$C,$B$8,CUBE!$D:$D,$B9)</f>
        <v>101529</v>
      </c>
      <c r="M9" s="44">
        <f>SUMIFS(CUBE!$E:$E,CUBE!$A:$A,$B$6,CUBE!$B:$B,M$8,CUBE!$C:$C,$B$8,CUBE!$D:$D,$B9)</f>
        <v>88904</v>
      </c>
      <c r="N9" s="44">
        <f>SUMIFS(CUBE!$E:$E,CUBE!$A:$A,$B$6,CUBE!$B:$B,N$8,CUBE!$C:$C,$B$8,CUBE!$D:$D,$B9)</f>
        <v>0</v>
      </c>
      <c r="O9" s="44">
        <f>SUMIFS(CUBE!$E:$E,CUBE!$A:$A,$B$6,CUBE!$B:$B,O$8,CUBE!$C:$C,$B$8,CUBE!$D:$D,$B9)</f>
        <v>0</v>
      </c>
      <c r="P9" s="44">
        <f>SUMIFS(CUBE!$E:$E,CUBE!$A:$A,$B$6,CUBE!$B:$B,P$8,CUBE!$C:$C,$B$8,CUBE!$D:$D,$B9)</f>
        <v>0</v>
      </c>
      <c r="Q9" s="44">
        <f>SUMIFS(CUBE!$E:$E,CUBE!$A:$A,$B$6,CUBE!$B:$B,Q$8,CUBE!$C:$C,$B$8,CUBE!$D:$D,$B9)</f>
        <v>0</v>
      </c>
      <c r="R9" s="44">
        <f>SUMIFS(CUBE!$E:$E,CUBE!$A:$A,$B$6,CUBE!$B:$B,R$8,CUBE!$C:$C,$B$8,CUBE!$D:$D,$B9)</f>
        <v>0</v>
      </c>
      <c r="S9" s="14"/>
      <c r="T9" s="45">
        <f t="shared" ref="T9:T19" si="6">F9/F$19</f>
        <v>0.1232819787</v>
      </c>
      <c r="U9" s="45">
        <f t="shared" ref="U9:AF9" si="3">IFERROR(G9/G$19,"-")</f>
        <v>0.08022800504</v>
      </c>
      <c r="V9" s="45">
        <f t="shared" si="3"/>
        <v>0.09186492653</v>
      </c>
      <c r="W9" s="45">
        <f t="shared" si="3"/>
        <v>0.09409754887</v>
      </c>
      <c r="X9" s="45">
        <f t="shared" si="3"/>
        <v>0.08690235717</v>
      </c>
      <c r="Y9" s="45">
        <f t="shared" si="3"/>
        <v>0.07925045428</v>
      </c>
      <c r="Z9" s="45">
        <f t="shared" si="3"/>
        <v>0.1176052904</v>
      </c>
      <c r="AA9" s="45">
        <f t="shared" si="3"/>
        <v>0.1178391733</v>
      </c>
      <c r="AB9" s="45" t="str">
        <f t="shared" si="3"/>
        <v>-</v>
      </c>
      <c r="AC9" s="45" t="str">
        <f t="shared" si="3"/>
        <v>-</v>
      </c>
      <c r="AD9" s="45" t="str">
        <f t="shared" si="3"/>
        <v>-</v>
      </c>
      <c r="AE9" s="45" t="str">
        <f t="shared" si="3"/>
        <v>-</v>
      </c>
      <c r="AF9" s="45" t="str">
        <f t="shared" si="3"/>
        <v>-</v>
      </c>
      <c r="AG9" s="14"/>
      <c r="AH9" s="45">
        <f t="shared" ref="AH9:AH18" si="8">($D9-T9)*ln($D9/T9)</f>
        <v>0.004715618065</v>
      </c>
      <c r="AI9" s="45">
        <f t="shared" ref="AI9:AT9" si="4">IFERROR(($D9-U9)*ln($D9/U9),"-")</f>
        <v>0.004507055354</v>
      </c>
      <c r="AJ9" s="45">
        <f t="shared" si="4"/>
        <v>0.0007512118409</v>
      </c>
      <c r="AK9" s="45">
        <f t="shared" si="4"/>
        <v>0.0004034053031</v>
      </c>
      <c r="AL9" s="45">
        <f t="shared" si="4"/>
        <v>0.001937403332</v>
      </c>
      <c r="AM9" s="45">
        <f t="shared" si="4"/>
        <v>0.004984696183</v>
      </c>
      <c r="AN9" s="45">
        <f t="shared" si="4"/>
        <v>0.00273483892</v>
      </c>
      <c r="AO9" s="45">
        <f t="shared" si="4"/>
        <v>0.002806655559</v>
      </c>
      <c r="AP9" s="45" t="str">
        <f t="shared" si="4"/>
        <v>-</v>
      </c>
      <c r="AQ9" s="45" t="str">
        <f t="shared" si="4"/>
        <v>-</v>
      </c>
      <c r="AR9" s="45" t="str">
        <f t="shared" si="4"/>
        <v>-</v>
      </c>
      <c r="AS9" s="45" t="str">
        <f t="shared" si="4"/>
        <v>-</v>
      </c>
      <c r="AT9" s="45" t="str">
        <f t="shared" si="4"/>
        <v>-</v>
      </c>
    </row>
    <row r="10">
      <c r="A10" s="14"/>
      <c r="B10" s="43" t="s">
        <v>614</v>
      </c>
      <c r="C10" s="46">
        <f>SUMIFS(CUBE!$E:$E,CUBE!$A:$A,$B$6,CUBE!$B:$B,C$8,CUBE!$C:$C,$B$8,CUBE!$D:$D,$B10)</f>
        <v>5234</v>
      </c>
      <c r="D10" s="47">
        <f t="shared" si="5"/>
        <v>0.1005513611</v>
      </c>
      <c r="E10" s="14"/>
      <c r="F10" s="46">
        <f>SUMIFS(CUBE!$E:$E,CUBE!$A:$A,$B$6,CUBE!$B:$B,F$8,CUBE!$C:$C,$B$8,CUBE!$D:$D,$B10)</f>
        <v>9225</v>
      </c>
      <c r="G10" s="46">
        <f>SUMIFS(CUBE!$E:$E,CUBE!$A:$A,$B$6,CUBE!$B:$B,G$8,CUBE!$C:$C,$B$8,CUBE!$D:$D,$B10)</f>
        <v>124817</v>
      </c>
      <c r="H10" s="46">
        <f>SUMIFS(CUBE!$E:$E,CUBE!$A:$A,$B$6,CUBE!$B:$B,H$8,CUBE!$C:$C,$B$8,CUBE!$D:$D,$B10)</f>
        <v>328003</v>
      </c>
      <c r="I10" s="46">
        <f>SUMIFS(CUBE!$E:$E,CUBE!$A:$A,$B$6,CUBE!$B:$B,I$8,CUBE!$C:$C,$B$8,CUBE!$D:$D,$B10)</f>
        <v>212724</v>
      </c>
      <c r="J10" s="46">
        <f>SUMIFS(CUBE!$E:$E,CUBE!$A:$A,$B$6,CUBE!$B:$B,J$8,CUBE!$C:$C,$B$8,CUBE!$D:$D,$B10)</f>
        <v>146074</v>
      </c>
      <c r="K10" s="46">
        <f>SUMIFS(CUBE!$E:$E,CUBE!$A:$A,$B$6,CUBE!$B:$B,K$8,CUBE!$C:$C,$B$8,CUBE!$D:$D,$B10)</f>
        <v>95763</v>
      </c>
      <c r="L10" s="46">
        <f>SUMIFS(CUBE!$E:$E,CUBE!$A:$A,$B$6,CUBE!$B:$B,L$8,CUBE!$C:$C,$B$8,CUBE!$D:$D,$B10)</f>
        <v>125521</v>
      </c>
      <c r="M10" s="46">
        <f>SUMIFS(CUBE!$E:$E,CUBE!$A:$A,$B$6,CUBE!$B:$B,M$8,CUBE!$C:$C,$B$8,CUBE!$D:$D,$B10)</f>
        <v>110488</v>
      </c>
      <c r="N10" s="46">
        <f>SUMIFS(CUBE!$E:$E,CUBE!$A:$A,$B$6,CUBE!$B:$B,N$8,CUBE!$C:$C,$B$8,CUBE!$D:$D,$B10)</f>
        <v>0</v>
      </c>
      <c r="O10" s="46">
        <f>SUMIFS(CUBE!$E:$E,CUBE!$A:$A,$B$6,CUBE!$B:$B,O$8,CUBE!$C:$C,$B$8,CUBE!$D:$D,$B10)</f>
        <v>0</v>
      </c>
      <c r="P10" s="46">
        <f>SUMIFS(CUBE!$E:$E,CUBE!$A:$A,$B$6,CUBE!$B:$B,P$8,CUBE!$C:$C,$B$8,CUBE!$D:$D,$B10)</f>
        <v>0</v>
      </c>
      <c r="Q10" s="46">
        <f>SUMIFS(CUBE!$E:$E,CUBE!$A:$A,$B$6,CUBE!$B:$B,Q$8,CUBE!$C:$C,$B$8,CUBE!$D:$D,$B10)</f>
        <v>0</v>
      </c>
      <c r="R10" s="46">
        <f>SUMIFS(CUBE!$E:$E,CUBE!$A:$A,$B$6,CUBE!$B:$B,R$8,CUBE!$C:$C,$B$8,CUBE!$D:$D,$B10)</f>
        <v>0</v>
      </c>
      <c r="S10" s="14"/>
      <c r="T10" s="47">
        <f t="shared" si="6"/>
        <v>0.1419820541</v>
      </c>
      <c r="U10" s="47">
        <f t="shared" ref="U10:AF10" si="7">IFERROR(G10/G$19,"-")</f>
        <v>0.1195551392</v>
      </c>
      <c r="V10" s="47">
        <f t="shared" si="7"/>
        <v>0.1321386444</v>
      </c>
      <c r="W10" s="47">
        <f t="shared" si="7"/>
        <v>0.1389698965</v>
      </c>
      <c r="X10" s="47">
        <f t="shared" si="7"/>
        <v>0.1292448932</v>
      </c>
      <c r="Y10" s="47">
        <f t="shared" si="7"/>
        <v>0.1254609984</v>
      </c>
      <c r="Z10" s="47">
        <f t="shared" si="7"/>
        <v>0.1453962282</v>
      </c>
      <c r="AA10" s="47">
        <f t="shared" si="7"/>
        <v>0.1464480179</v>
      </c>
      <c r="AB10" s="47" t="str">
        <f t="shared" si="7"/>
        <v>-</v>
      </c>
      <c r="AC10" s="47" t="str">
        <f t="shared" si="7"/>
        <v>-</v>
      </c>
      <c r="AD10" s="47" t="str">
        <f t="shared" si="7"/>
        <v>-</v>
      </c>
      <c r="AE10" s="47" t="str">
        <f t="shared" si="7"/>
        <v>-</v>
      </c>
      <c r="AF10" s="47" t="str">
        <f t="shared" si="7"/>
        <v>-</v>
      </c>
      <c r="AG10" s="14"/>
      <c r="AH10" s="47">
        <f t="shared" si="8"/>
        <v>0.01429491557</v>
      </c>
      <c r="AI10" s="47">
        <f t="shared" ref="AI10:AT10" si="9">IFERROR(($D10-U10)*ln($D10/U10),"-")</f>
        <v>0.003289725558</v>
      </c>
      <c r="AJ10" s="47">
        <f t="shared" si="9"/>
        <v>0.008629110545</v>
      </c>
      <c r="AK10" s="47">
        <f t="shared" si="9"/>
        <v>0.01243180335</v>
      </c>
      <c r="AL10" s="47">
        <f t="shared" si="9"/>
        <v>0.007203234308</v>
      </c>
      <c r="AM10" s="47">
        <f t="shared" si="9"/>
        <v>0.005513157546</v>
      </c>
      <c r="AN10" s="47">
        <f t="shared" si="9"/>
        <v>0.01653851662</v>
      </c>
      <c r="AO10" s="47">
        <f t="shared" si="9"/>
        <v>0.01725722952</v>
      </c>
      <c r="AP10" s="47" t="str">
        <f t="shared" si="9"/>
        <v>-</v>
      </c>
      <c r="AQ10" s="47" t="str">
        <f t="shared" si="9"/>
        <v>-</v>
      </c>
      <c r="AR10" s="47" t="str">
        <f t="shared" si="9"/>
        <v>-</v>
      </c>
      <c r="AS10" s="47" t="str">
        <f t="shared" si="9"/>
        <v>-</v>
      </c>
      <c r="AT10" s="47" t="str">
        <f t="shared" si="9"/>
        <v>-</v>
      </c>
    </row>
    <row r="11">
      <c r="A11" s="14"/>
      <c r="B11" s="43" t="s">
        <v>617</v>
      </c>
      <c r="C11" s="44">
        <f>SUMIFS(CUBE!$E:$E,CUBE!$A:$A,$B$6,CUBE!$B:$B,C$8,CUBE!$C:$C,$B$8,CUBE!$D:$D,$B11)</f>
        <v>5170</v>
      </c>
      <c r="D11" s="45">
        <f t="shared" si="5"/>
        <v>0.09932184504</v>
      </c>
      <c r="E11" s="14"/>
      <c r="F11" s="44">
        <f>SUMIFS(CUBE!$E:$E,CUBE!$A:$A,$B$6,CUBE!$B:$B,F$8,CUBE!$C:$C,$B$8,CUBE!$D:$D,$B11)</f>
        <v>8013</v>
      </c>
      <c r="G11" s="44">
        <f>SUMIFS(CUBE!$E:$E,CUBE!$A:$A,$B$6,CUBE!$B:$B,G$8,CUBE!$C:$C,$B$8,CUBE!$D:$D,$B11)</f>
        <v>116920</v>
      </c>
      <c r="H11" s="44">
        <f>SUMIFS(CUBE!$E:$E,CUBE!$A:$A,$B$6,CUBE!$B:$B,H$8,CUBE!$C:$C,$B$8,CUBE!$D:$D,$B11)</f>
        <v>307570</v>
      </c>
      <c r="I11" s="44">
        <f>SUMIFS(CUBE!$E:$E,CUBE!$A:$A,$B$6,CUBE!$B:$B,I$8,CUBE!$C:$C,$B$8,CUBE!$D:$D,$B11)</f>
        <v>184325</v>
      </c>
      <c r="J11" s="44">
        <f>SUMIFS(CUBE!$E:$E,CUBE!$A:$A,$B$6,CUBE!$B:$B,J$8,CUBE!$C:$C,$B$8,CUBE!$D:$D,$B11)</f>
        <v>131062</v>
      </c>
      <c r="K11" s="44">
        <f>SUMIFS(CUBE!$E:$E,CUBE!$A:$A,$B$6,CUBE!$B:$B,K$8,CUBE!$C:$C,$B$8,CUBE!$D:$D,$B11)</f>
        <v>88021</v>
      </c>
      <c r="L11" s="44">
        <f>SUMIFS(CUBE!$E:$E,CUBE!$A:$A,$B$6,CUBE!$B:$B,L$8,CUBE!$C:$C,$B$8,CUBE!$D:$D,$B11)</f>
        <v>104244</v>
      </c>
      <c r="M11" s="44">
        <f>SUMIFS(CUBE!$E:$E,CUBE!$A:$A,$B$6,CUBE!$B:$B,M$8,CUBE!$C:$C,$B$8,CUBE!$D:$D,$B11)</f>
        <v>91953</v>
      </c>
      <c r="N11" s="44">
        <f>SUMIFS(CUBE!$E:$E,CUBE!$A:$A,$B$6,CUBE!$B:$B,N$8,CUBE!$C:$C,$B$8,CUBE!$D:$D,$B11)</f>
        <v>0</v>
      </c>
      <c r="O11" s="44">
        <f>SUMIFS(CUBE!$E:$E,CUBE!$A:$A,$B$6,CUBE!$B:$B,O$8,CUBE!$C:$C,$B$8,CUBE!$D:$D,$B11)</f>
        <v>0</v>
      </c>
      <c r="P11" s="44">
        <f>SUMIFS(CUBE!$E:$E,CUBE!$A:$A,$B$6,CUBE!$B:$B,P$8,CUBE!$C:$C,$B$8,CUBE!$D:$D,$B11)</f>
        <v>0</v>
      </c>
      <c r="Q11" s="44">
        <f>SUMIFS(CUBE!$E:$E,CUBE!$A:$A,$B$6,CUBE!$B:$B,Q$8,CUBE!$C:$C,$B$8,CUBE!$D:$D,$B11)</f>
        <v>0</v>
      </c>
      <c r="R11" s="44">
        <f>SUMIFS(CUBE!$E:$E,CUBE!$A:$A,$B$6,CUBE!$B:$B,R$8,CUBE!$C:$C,$B$8,CUBE!$D:$D,$B11)</f>
        <v>0</v>
      </c>
      <c r="S11" s="14"/>
      <c r="T11" s="45">
        <f t="shared" si="6"/>
        <v>0.1233281517</v>
      </c>
      <c r="U11" s="45">
        <f t="shared" ref="U11:AF11" si="10">IFERROR(G11/G$19,"-")</f>
        <v>0.1119910499</v>
      </c>
      <c r="V11" s="45">
        <f t="shared" si="10"/>
        <v>0.1239070461</v>
      </c>
      <c r="W11" s="45">
        <f t="shared" si="10"/>
        <v>0.1204171893</v>
      </c>
      <c r="X11" s="45">
        <f t="shared" si="10"/>
        <v>0.1159624176</v>
      </c>
      <c r="Y11" s="45">
        <f t="shared" si="10"/>
        <v>0.1153180512</v>
      </c>
      <c r="Z11" s="45">
        <f t="shared" si="10"/>
        <v>0.1207501885</v>
      </c>
      <c r="AA11" s="45">
        <f t="shared" si="10"/>
        <v>0.1218805172</v>
      </c>
      <c r="AB11" s="45" t="str">
        <f t="shared" si="10"/>
        <v>-</v>
      </c>
      <c r="AC11" s="45" t="str">
        <f t="shared" si="10"/>
        <v>-</v>
      </c>
      <c r="AD11" s="45" t="str">
        <f t="shared" si="10"/>
        <v>-</v>
      </c>
      <c r="AE11" s="45" t="str">
        <f t="shared" si="10"/>
        <v>-</v>
      </c>
      <c r="AF11" s="45" t="str">
        <f t="shared" si="10"/>
        <v>-</v>
      </c>
      <c r="AG11" s="14"/>
      <c r="AH11" s="45">
        <f t="shared" si="8"/>
        <v>0.005196961258</v>
      </c>
      <c r="AI11" s="45">
        <f t="shared" ref="AI11:AT11" si="11">IFERROR(($D11-U11)*ln($D11/U11),"-")</f>
        <v>0.001520981365</v>
      </c>
      <c r="AJ11" s="45">
        <f t="shared" si="11"/>
        <v>0.005437413524</v>
      </c>
      <c r="AK11" s="45">
        <f t="shared" si="11"/>
        <v>0.004062894822</v>
      </c>
      <c r="AL11" s="45">
        <f t="shared" si="11"/>
        <v>0.002577634937</v>
      </c>
      <c r="AM11" s="45">
        <f t="shared" si="11"/>
        <v>0.00238868846</v>
      </c>
      <c r="AN11" s="45">
        <f t="shared" si="11"/>
        <v>0.004186205108</v>
      </c>
      <c r="AO11" s="45">
        <f t="shared" si="11"/>
        <v>0.004617211141</v>
      </c>
      <c r="AP11" s="45" t="str">
        <f t="shared" si="11"/>
        <v>-</v>
      </c>
      <c r="AQ11" s="45" t="str">
        <f t="shared" si="11"/>
        <v>-</v>
      </c>
      <c r="AR11" s="45" t="str">
        <f t="shared" si="11"/>
        <v>-</v>
      </c>
      <c r="AS11" s="45" t="str">
        <f t="shared" si="11"/>
        <v>-</v>
      </c>
      <c r="AT11" s="45" t="str">
        <f t="shared" si="11"/>
        <v>-</v>
      </c>
    </row>
    <row r="12">
      <c r="A12" s="14"/>
      <c r="B12" s="43" t="s">
        <v>616</v>
      </c>
      <c r="C12" s="46">
        <f>SUMIFS(CUBE!$E:$E,CUBE!$A:$A,$B$6,CUBE!$B:$B,C$8,CUBE!$C:$C,$B$8,CUBE!$D:$D,$B12)</f>
        <v>5262</v>
      </c>
      <c r="D12" s="47">
        <f t="shared" si="5"/>
        <v>0.1010892744</v>
      </c>
      <c r="E12" s="14"/>
      <c r="F12" s="46">
        <f>SUMIFS(CUBE!$E:$E,CUBE!$A:$A,$B$6,CUBE!$B:$B,F$8,CUBE!$C:$C,$B$8,CUBE!$D:$D,$B12)</f>
        <v>8284</v>
      </c>
      <c r="G12" s="46">
        <f>SUMIFS(CUBE!$E:$E,CUBE!$A:$A,$B$6,CUBE!$B:$B,G$8,CUBE!$C:$C,$B$8,CUBE!$D:$D,$B12)</f>
        <v>119170</v>
      </c>
      <c r="H12" s="46">
        <f>SUMIFS(CUBE!$E:$E,CUBE!$A:$A,$B$6,CUBE!$B:$B,H$8,CUBE!$C:$C,$B$8,CUBE!$D:$D,$B12)</f>
        <v>302282</v>
      </c>
      <c r="I12" s="46">
        <f>SUMIFS(CUBE!$E:$E,CUBE!$A:$A,$B$6,CUBE!$B:$B,I$8,CUBE!$C:$C,$B$8,CUBE!$D:$D,$B12)</f>
        <v>177295</v>
      </c>
      <c r="J12" s="46">
        <f>SUMIFS(CUBE!$E:$E,CUBE!$A:$A,$B$6,CUBE!$B:$B,J$8,CUBE!$C:$C,$B$8,CUBE!$D:$D,$B12)</f>
        <v>131592</v>
      </c>
      <c r="K12" s="46">
        <f>SUMIFS(CUBE!$E:$E,CUBE!$A:$A,$B$6,CUBE!$B:$B,K$8,CUBE!$C:$C,$B$8,CUBE!$D:$D,$B12)</f>
        <v>91142</v>
      </c>
      <c r="L12" s="46">
        <f>SUMIFS(CUBE!$E:$E,CUBE!$A:$A,$B$6,CUBE!$B:$B,L$8,CUBE!$C:$C,$B$8,CUBE!$D:$D,$B12)</f>
        <v>100779</v>
      </c>
      <c r="M12" s="46">
        <f>SUMIFS(CUBE!$E:$E,CUBE!$A:$A,$B$6,CUBE!$B:$B,M$8,CUBE!$C:$C,$B$8,CUBE!$D:$D,$B12)</f>
        <v>92067</v>
      </c>
      <c r="N12" s="46">
        <f>SUMIFS(CUBE!$E:$E,CUBE!$A:$A,$B$6,CUBE!$B:$B,N$8,CUBE!$C:$C,$B$8,CUBE!$D:$D,$B12)</f>
        <v>0</v>
      </c>
      <c r="O12" s="46">
        <f>SUMIFS(CUBE!$E:$E,CUBE!$A:$A,$B$6,CUBE!$B:$B,O$8,CUBE!$C:$C,$B$8,CUBE!$D:$D,$B12)</f>
        <v>0</v>
      </c>
      <c r="P12" s="46">
        <f>SUMIFS(CUBE!$E:$E,CUBE!$A:$A,$B$6,CUBE!$B:$B,P$8,CUBE!$C:$C,$B$8,CUBE!$D:$D,$B12)</f>
        <v>0</v>
      </c>
      <c r="Q12" s="46">
        <f>SUMIFS(CUBE!$E:$E,CUBE!$A:$A,$B$6,CUBE!$B:$B,Q$8,CUBE!$C:$C,$B$8,CUBE!$D:$D,$B12)</f>
        <v>0</v>
      </c>
      <c r="R12" s="46">
        <f>SUMIFS(CUBE!$E:$E,CUBE!$A:$A,$B$6,CUBE!$B:$B,R$8,CUBE!$C:$C,$B$8,CUBE!$D:$D,$B12)</f>
        <v>0</v>
      </c>
      <c r="S12" s="14"/>
      <c r="T12" s="47">
        <f t="shared" si="6"/>
        <v>0.127499115</v>
      </c>
      <c r="U12" s="47">
        <f t="shared" ref="U12:AF12" si="12">IFERROR(G12/G$19,"-")</f>
        <v>0.1141461976</v>
      </c>
      <c r="V12" s="47">
        <f t="shared" si="12"/>
        <v>0.1217767329</v>
      </c>
      <c r="W12" s="47">
        <f t="shared" si="12"/>
        <v>0.1158245793</v>
      </c>
      <c r="X12" s="47">
        <f t="shared" si="12"/>
        <v>0.1164313566</v>
      </c>
      <c r="Y12" s="47">
        <f t="shared" si="12"/>
        <v>0.119406935</v>
      </c>
      <c r="Z12" s="47">
        <f t="shared" si="12"/>
        <v>0.116736534</v>
      </c>
      <c r="AA12" s="47">
        <f t="shared" si="12"/>
        <v>0.1220316203</v>
      </c>
      <c r="AB12" s="47" t="str">
        <f t="shared" si="12"/>
        <v>-</v>
      </c>
      <c r="AC12" s="47" t="str">
        <f t="shared" si="12"/>
        <v>-</v>
      </c>
      <c r="AD12" s="47" t="str">
        <f t="shared" si="12"/>
        <v>-</v>
      </c>
      <c r="AE12" s="47" t="str">
        <f t="shared" si="12"/>
        <v>-</v>
      </c>
      <c r="AF12" s="47" t="str">
        <f t="shared" si="12"/>
        <v>-</v>
      </c>
      <c r="AG12" s="14"/>
      <c r="AH12" s="47">
        <f t="shared" si="8"/>
        <v>0.006129866416</v>
      </c>
      <c r="AI12" s="47">
        <f t="shared" ref="AI12:AT12" si="13">IFERROR(($D12-U12)*ln($D12/U12),"-")</f>
        <v>0.001586103191</v>
      </c>
      <c r="AJ12" s="47">
        <f t="shared" si="13"/>
        <v>0.003851700209</v>
      </c>
      <c r="AK12" s="47">
        <f t="shared" si="13"/>
        <v>0.002005073718</v>
      </c>
      <c r="AL12" s="47">
        <f t="shared" si="13"/>
        <v>0.002167803303</v>
      </c>
      <c r="AM12" s="47">
        <f t="shared" si="13"/>
        <v>0.00305049955</v>
      </c>
      <c r="AN12" s="47">
        <f t="shared" si="13"/>
        <v>0.00225188347</v>
      </c>
      <c r="AO12" s="47">
        <f t="shared" si="13"/>
        <v>0.003942944524</v>
      </c>
      <c r="AP12" s="47" t="str">
        <f t="shared" si="13"/>
        <v>-</v>
      </c>
      <c r="AQ12" s="47" t="str">
        <f t="shared" si="13"/>
        <v>-</v>
      </c>
      <c r="AR12" s="47" t="str">
        <f t="shared" si="13"/>
        <v>-</v>
      </c>
      <c r="AS12" s="47" t="str">
        <f t="shared" si="13"/>
        <v>-</v>
      </c>
      <c r="AT12" s="47" t="str">
        <f t="shared" si="13"/>
        <v>-</v>
      </c>
    </row>
    <row r="13">
      <c r="A13" s="14"/>
      <c r="B13" s="43" t="s">
        <v>625</v>
      </c>
      <c r="C13" s="44">
        <f>SUMIFS(CUBE!$E:$E,CUBE!$A:$A,$B$6,CUBE!$B:$B,C$8,CUBE!$C:$C,$B$8,CUBE!$D:$D,$B13)</f>
        <v>5145</v>
      </c>
      <c r="D13" s="45">
        <f t="shared" si="5"/>
        <v>0.09884156533</v>
      </c>
      <c r="E13" s="14"/>
      <c r="F13" s="44">
        <f>SUMIFS(CUBE!$E:$E,CUBE!$A:$A,$B$6,CUBE!$B:$B,F$8,CUBE!$C:$C,$B$8,CUBE!$D:$D,$B13)</f>
        <v>8064</v>
      </c>
      <c r="G13" s="44">
        <f>SUMIFS(CUBE!$E:$E,CUBE!$A:$A,$B$6,CUBE!$B:$B,G$8,CUBE!$C:$C,$B$8,CUBE!$D:$D,$B13)</f>
        <v>129588</v>
      </c>
      <c r="H13" s="44">
        <f>SUMIFS(CUBE!$E:$E,CUBE!$A:$A,$B$6,CUBE!$B:$B,H$8,CUBE!$C:$C,$B$8,CUBE!$D:$D,$B13)</f>
        <v>331231</v>
      </c>
      <c r="I13" s="44">
        <f>SUMIFS(CUBE!$E:$E,CUBE!$A:$A,$B$6,CUBE!$B:$B,I$8,CUBE!$C:$C,$B$8,CUBE!$D:$D,$B13)</f>
        <v>190667</v>
      </c>
      <c r="J13" s="44">
        <f>SUMIFS(CUBE!$E:$E,CUBE!$A:$A,$B$6,CUBE!$B:$B,J$8,CUBE!$C:$C,$B$8,CUBE!$D:$D,$B13)</f>
        <v>151582</v>
      </c>
      <c r="K13" s="44">
        <f>SUMIFS(CUBE!$E:$E,CUBE!$A:$A,$B$6,CUBE!$B:$B,K$8,CUBE!$C:$C,$B$8,CUBE!$D:$D,$B13)</f>
        <v>102458</v>
      </c>
      <c r="L13" s="44">
        <f>SUMIFS(CUBE!$E:$E,CUBE!$A:$A,$B$6,CUBE!$B:$B,L$8,CUBE!$C:$C,$B$8,CUBE!$D:$D,$B13)</f>
        <v>107136</v>
      </c>
      <c r="M13" s="44">
        <f>SUMIFS(CUBE!$E:$E,CUBE!$A:$A,$B$6,CUBE!$B:$B,M$8,CUBE!$C:$C,$B$8,CUBE!$D:$D,$B13)</f>
        <v>96056</v>
      </c>
      <c r="N13" s="44">
        <f>SUMIFS(CUBE!$E:$E,CUBE!$A:$A,$B$6,CUBE!$B:$B,N$8,CUBE!$C:$C,$B$8,CUBE!$D:$D,$B13)</f>
        <v>0</v>
      </c>
      <c r="O13" s="44">
        <f>SUMIFS(CUBE!$E:$E,CUBE!$A:$A,$B$6,CUBE!$B:$B,O$8,CUBE!$C:$C,$B$8,CUBE!$D:$D,$B13)</f>
        <v>0</v>
      </c>
      <c r="P13" s="44">
        <f>SUMIFS(CUBE!$E:$E,CUBE!$A:$A,$B$6,CUBE!$B:$B,P$8,CUBE!$C:$C,$B$8,CUBE!$D:$D,$B13)</f>
        <v>0</v>
      </c>
      <c r="Q13" s="44">
        <f>SUMIFS(CUBE!$E:$E,CUBE!$A:$A,$B$6,CUBE!$B:$B,Q$8,CUBE!$C:$C,$B$8,CUBE!$D:$D,$B13)</f>
        <v>0</v>
      </c>
      <c r="R13" s="44">
        <f>SUMIFS(CUBE!$E:$E,CUBE!$A:$A,$B$6,CUBE!$B:$B,R$8,CUBE!$C:$C,$B$8,CUBE!$D:$D,$B13)</f>
        <v>0</v>
      </c>
      <c r="S13" s="14"/>
      <c r="T13" s="45">
        <f t="shared" si="6"/>
        <v>0.1241130931</v>
      </c>
      <c r="U13" s="45">
        <f t="shared" ref="U13:AF13" si="14">IFERROR(G13/G$19,"-")</f>
        <v>0.1241250101</v>
      </c>
      <c r="V13" s="45">
        <f t="shared" si="14"/>
        <v>0.1334390701</v>
      </c>
      <c r="W13" s="45">
        <f t="shared" si="14"/>
        <v>0.1245603376</v>
      </c>
      <c r="X13" s="45">
        <f t="shared" si="14"/>
        <v>0.1341183195</v>
      </c>
      <c r="Y13" s="45">
        <f t="shared" si="14"/>
        <v>0.1342322502</v>
      </c>
      <c r="Z13" s="45">
        <f t="shared" si="14"/>
        <v>0.1241001132</v>
      </c>
      <c r="AA13" s="45">
        <f t="shared" si="14"/>
        <v>0.1273189017</v>
      </c>
      <c r="AB13" s="45" t="str">
        <f t="shared" si="14"/>
        <v>-</v>
      </c>
      <c r="AC13" s="45" t="str">
        <f t="shared" si="14"/>
        <v>-</v>
      </c>
      <c r="AD13" s="45" t="str">
        <f t="shared" si="14"/>
        <v>-</v>
      </c>
      <c r="AE13" s="45" t="str">
        <f t="shared" si="14"/>
        <v>-</v>
      </c>
      <c r="AF13" s="45" t="str">
        <f t="shared" si="14"/>
        <v>-</v>
      </c>
      <c r="AG13" s="14"/>
      <c r="AH13" s="45">
        <f t="shared" si="8"/>
        <v>0.005753694419</v>
      </c>
      <c r="AI13" s="45">
        <f t="shared" ref="AI13:AT13" si="15">IFERROR(($D13-U13)*ln($D13/U13),"-")</f>
        <v>0.005758835121</v>
      </c>
      <c r="AJ13" s="45">
        <f t="shared" si="15"/>
        <v>0.01038363675</v>
      </c>
      <c r="AK13" s="45">
        <f t="shared" si="15"/>
        <v>0.005948032421</v>
      </c>
      <c r="AL13" s="45">
        <f t="shared" si="15"/>
        <v>0.01076661261</v>
      </c>
      <c r="AM13" s="45">
        <f t="shared" si="15"/>
        <v>0.0108314356</v>
      </c>
      <c r="AN13" s="45">
        <f t="shared" si="15"/>
        <v>0.005748097486</v>
      </c>
      <c r="AO13" s="45">
        <f t="shared" si="15"/>
        <v>0.007209799686</v>
      </c>
      <c r="AP13" s="45" t="str">
        <f t="shared" si="15"/>
        <v>-</v>
      </c>
      <c r="AQ13" s="45" t="str">
        <f t="shared" si="15"/>
        <v>-</v>
      </c>
      <c r="AR13" s="45" t="str">
        <f t="shared" si="15"/>
        <v>-</v>
      </c>
      <c r="AS13" s="45" t="str">
        <f t="shared" si="15"/>
        <v>-</v>
      </c>
      <c r="AT13" s="45" t="str">
        <f t="shared" si="15"/>
        <v>-</v>
      </c>
    </row>
    <row r="14">
      <c r="A14" s="14"/>
      <c r="B14" s="43" t="s">
        <v>615</v>
      </c>
      <c r="C14" s="46">
        <f>SUMIFS(CUBE!$E:$E,CUBE!$A:$A,$B$6,CUBE!$B:$B,C$8,CUBE!$C:$C,$B$8,CUBE!$D:$D,$B14)</f>
        <v>5250</v>
      </c>
      <c r="D14" s="47">
        <f t="shared" si="5"/>
        <v>0.1008587401</v>
      </c>
      <c r="E14" s="14"/>
      <c r="F14" s="46">
        <f>SUMIFS(CUBE!$E:$E,CUBE!$A:$A,$B$6,CUBE!$B:$B,F$8,CUBE!$C:$C,$B$8,CUBE!$D:$D,$B14)</f>
        <v>6300</v>
      </c>
      <c r="G14" s="46">
        <f>SUMIFS(CUBE!$E:$E,CUBE!$A:$A,$B$6,CUBE!$B:$B,G$8,CUBE!$C:$C,$B$8,CUBE!$D:$D,$B14)</f>
        <v>126333</v>
      </c>
      <c r="H14" s="46">
        <f>SUMIFS(CUBE!$E:$E,CUBE!$A:$A,$B$6,CUBE!$B:$B,H$8,CUBE!$C:$C,$B$8,CUBE!$D:$D,$B14)</f>
        <v>289810</v>
      </c>
      <c r="I14" s="46">
        <f>SUMIFS(CUBE!$E:$E,CUBE!$A:$A,$B$6,CUBE!$B:$B,I$8,CUBE!$C:$C,$B$8,CUBE!$D:$D,$B14)</f>
        <v>174805</v>
      </c>
      <c r="J14" s="46">
        <f>SUMIFS(CUBE!$E:$E,CUBE!$A:$A,$B$6,CUBE!$B:$B,J$8,CUBE!$C:$C,$B$8,CUBE!$D:$D,$B14)</f>
        <v>133534</v>
      </c>
      <c r="K14" s="46">
        <f>SUMIFS(CUBE!$E:$E,CUBE!$A:$A,$B$6,CUBE!$B:$B,K$8,CUBE!$C:$C,$B$8,CUBE!$D:$D,$B14)</f>
        <v>91466</v>
      </c>
      <c r="L14" s="46">
        <f>SUMIFS(CUBE!$E:$E,CUBE!$A:$A,$B$6,CUBE!$B:$B,L$8,CUBE!$C:$C,$B$8,CUBE!$D:$D,$B14)</f>
        <v>93001</v>
      </c>
      <c r="M14" s="46">
        <f>SUMIFS(CUBE!$E:$E,CUBE!$A:$A,$B$6,CUBE!$B:$B,M$8,CUBE!$C:$C,$B$8,CUBE!$D:$D,$B14)</f>
        <v>81956</v>
      </c>
      <c r="N14" s="46">
        <f>SUMIFS(CUBE!$E:$E,CUBE!$A:$A,$B$6,CUBE!$B:$B,N$8,CUBE!$C:$C,$B$8,CUBE!$D:$D,$B14)</f>
        <v>0</v>
      </c>
      <c r="O14" s="46">
        <f>SUMIFS(CUBE!$E:$E,CUBE!$A:$A,$B$6,CUBE!$B:$B,O$8,CUBE!$C:$C,$B$8,CUBE!$D:$D,$B14)</f>
        <v>0</v>
      </c>
      <c r="P14" s="46">
        <f>SUMIFS(CUBE!$E:$E,CUBE!$A:$A,$B$6,CUBE!$B:$B,P$8,CUBE!$C:$C,$B$8,CUBE!$D:$D,$B14)</f>
        <v>0</v>
      </c>
      <c r="Q14" s="46">
        <f>SUMIFS(CUBE!$E:$E,CUBE!$A:$A,$B$6,CUBE!$B:$B,Q$8,CUBE!$C:$C,$B$8,CUBE!$D:$D,$B14)</f>
        <v>0</v>
      </c>
      <c r="R14" s="46">
        <f>SUMIFS(CUBE!$E:$E,CUBE!$A:$A,$B$6,CUBE!$B:$B,R$8,CUBE!$C:$C,$B$8,CUBE!$D:$D,$B14)</f>
        <v>0</v>
      </c>
      <c r="S14" s="14"/>
      <c r="T14" s="47">
        <f t="shared" si="6"/>
        <v>0.09696335401</v>
      </c>
      <c r="U14" s="47">
        <f t="shared" ref="U14:AF14" si="16">IFERROR(G14/G$19,"-")</f>
        <v>0.1210072298</v>
      </c>
      <c r="V14" s="47">
        <f t="shared" si="16"/>
        <v>0.1167522874</v>
      </c>
      <c r="W14" s="47">
        <f t="shared" si="16"/>
        <v>0.1141978938</v>
      </c>
      <c r="X14" s="47">
        <f t="shared" si="16"/>
        <v>0.1181496198</v>
      </c>
      <c r="Y14" s="47">
        <f t="shared" si="16"/>
        <v>0.1198314138</v>
      </c>
      <c r="Z14" s="47">
        <f t="shared" si="16"/>
        <v>0.107726951</v>
      </c>
      <c r="AA14" s="47">
        <f t="shared" si="16"/>
        <v>0.1086298399</v>
      </c>
      <c r="AB14" s="47" t="str">
        <f t="shared" si="16"/>
        <v>-</v>
      </c>
      <c r="AC14" s="47" t="str">
        <f t="shared" si="16"/>
        <v>-</v>
      </c>
      <c r="AD14" s="47" t="str">
        <f t="shared" si="16"/>
        <v>-</v>
      </c>
      <c r="AE14" s="47" t="str">
        <f t="shared" si="16"/>
        <v>-</v>
      </c>
      <c r="AF14" s="47" t="str">
        <f t="shared" si="16"/>
        <v>-</v>
      </c>
      <c r="AG14" s="14"/>
      <c r="AH14" s="47">
        <f t="shared" si="8"/>
        <v>0.0001534307358</v>
      </c>
      <c r="AI14" s="47">
        <f t="shared" ref="AI14:AT14" si="17">IFERROR(($D14-U14)*ln($D14/U14),"-")</f>
        <v>0.003669631709</v>
      </c>
      <c r="AJ14" s="47">
        <f t="shared" si="17"/>
        <v>0.002325759414</v>
      </c>
      <c r="AK14" s="47">
        <f t="shared" si="17"/>
        <v>0.001656882005</v>
      </c>
      <c r="AL14" s="47">
        <f t="shared" si="17"/>
        <v>0.002735950782</v>
      </c>
      <c r="AM14" s="47">
        <f t="shared" si="17"/>
        <v>0.003270223845</v>
      </c>
      <c r="AN14" s="47">
        <f t="shared" si="17"/>
        <v>0.0004524699671</v>
      </c>
      <c r="AO14" s="47">
        <f t="shared" si="17"/>
        <v>0.0005768115436</v>
      </c>
      <c r="AP14" s="47" t="str">
        <f t="shared" si="17"/>
        <v>-</v>
      </c>
      <c r="AQ14" s="47" t="str">
        <f t="shared" si="17"/>
        <v>-</v>
      </c>
      <c r="AR14" s="47" t="str">
        <f t="shared" si="17"/>
        <v>-</v>
      </c>
      <c r="AS14" s="47" t="str">
        <f t="shared" si="17"/>
        <v>-</v>
      </c>
      <c r="AT14" s="47" t="str">
        <f t="shared" si="17"/>
        <v>-</v>
      </c>
    </row>
    <row r="15">
      <c r="A15" s="14"/>
      <c r="B15" s="43" t="s">
        <v>611</v>
      </c>
      <c r="C15" s="44">
        <f>SUMIFS(CUBE!$E:$E,CUBE!$A:$A,$B$6,CUBE!$B:$B,C$8,CUBE!$C:$C,$B$8,CUBE!$D:$D,$B15)</f>
        <v>5219</v>
      </c>
      <c r="D15" s="45">
        <f t="shared" si="5"/>
        <v>0.1002631933</v>
      </c>
      <c r="E15" s="14"/>
      <c r="F15" s="44">
        <f>SUMIFS(CUBE!$E:$E,CUBE!$A:$A,$B$6,CUBE!$B:$B,F$8,CUBE!$C:$C,$B$8,CUBE!$D:$D,$B15)</f>
        <v>4734</v>
      </c>
      <c r="G15" s="44">
        <f>SUMIFS(CUBE!$E:$E,CUBE!$A:$A,$B$6,CUBE!$B:$B,G$8,CUBE!$C:$C,$B$8,CUBE!$D:$D,$B15)</f>
        <v>106017</v>
      </c>
      <c r="H15" s="44">
        <f>SUMIFS(CUBE!$E:$E,CUBE!$A:$A,$B$6,CUBE!$B:$B,H$8,CUBE!$C:$C,$B$8,CUBE!$D:$D,$B15)</f>
        <v>260081</v>
      </c>
      <c r="I15" s="44">
        <f>SUMIFS(CUBE!$E:$E,CUBE!$A:$A,$B$6,CUBE!$B:$B,I$8,CUBE!$C:$C,$B$8,CUBE!$D:$D,$B15)</f>
        <v>142542</v>
      </c>
      <c r="J15" s="44">
        <f>SUMIFS(CUBE!$E:$E,CUBE!$A:$A,$B$6,CUBE!$B:$B,J$8,CUBE!$C:$C,$B$8,CUBE!$D:$D,$B15)</f>
        <v>101055</v>
      </c>
      <c r="K15" s="44">
        <f>SUMIFS(CUBE!$E:$E,CUBE!$A:$A,$B$6,CUBE!$B:$B,K$8,CUBE!$C:$C,$B$8,CUBE!$D:$D,$B15)</f>
        <v>70900</v>
      </c>
      <c r="L15" s="44">
        <f>SUMIFS(CUBE!$E:$E,CUBE!$A:$A,$B$6,CUBE!$B:$B,L$8,CUBE!$C:$C,$B$8,CUBE!$D:$D,$B15)</f>
        <v>72335</v>
      </c>
      <c r="M15" s="44">
        <f>SUMIFS(CUBE!$E:$E,CUBE!$A:$A,$B$6,CUBE!$B:$B,M$8,CUBE!$C:$C,$B$8,CUBE!$D:$D,$B15)</f>
        <v>64067</v>
      </c>
      <c r="N15" s="44">
        <f>SUMIFS(CUBE!$E:$E,CUBE!$A:$A,$B$6,CUBE!$B:$B,N$8,CUBE!$C:$C,$B$8,CUBE!$D:$D,$B15)</f>
        <v>0</v>
      </c>
      <c r="O15" s="44">
        <f>SUMIFS(CUBE!$E:$E,CUBE!$A:$A,$B$6,CUBE!$B:$B,O$8,CUBE!$C:$C,$B$8,CUBE!$D:$D,$B15)</f>
        <v>0</v>
      </c>
      <c r="P15" s="44">
        <f>SUMIFS(CUBE!$E:$E,CUBE!$A:$A,$B$6,CUBE!$B:$B,P$8,CUBE!$C:$C,$B$8,CUBE!$D:$D,$B15)</f>
        <v>0</v>
      </c>
      <c r="Q15" s="44">
        <f>SUMIFS(CUBE!$E:$E,CUBE!$A:$A,$B$6,CUBE!$B:$B,Q$8,CUBE!$C:$C,$B$8,CUBE!$D:$D,$B15)</f>
        <v>0</v>
      </c>
      <c r="R15" s="44">
        <f>SUMIFS(CUBE!$E:$E,CUBE!$A:$A,$B$6,CUBE!$B:$B,R$8,CUBE!$C:$C,$B$8,CUBE!$D:$D,$B15)</f>
        <v>0</v>
      </c>
      <c r="S15" s="14"/>
      <c r="T15" s="45">
        <f t="shared" si="6"/>
        <v>0.07286103458</v>
      </c>
      <c r="U15" s="45">
        <f t="shared" ref="U15:AF15" si="18">IFERROR(G15/G$19,"-")</f>
        <v>0.1015476834</v>
      </c>
      <c r="V15" s="45">
        <f t="shared" si="18"/>
        <v>0.1047757209</v>
      </c>
      <c r="W15" s="45">
        <f t="shared" si="18"/>
        <v>0.09312088429</v>
      </c>
      <c r="X15" s="45">
        <f t="shared" si="18"/>
        <v>0.08941250793</v>
      </c>
      <c r="Y15" s="45">
        <f t="shared" si="18"/>
        <v>0.09288749085</v>
      </c>
      <c r="Z15" s="45">
        <f t="shared" si="18"/>
        <v>0.08378865821</v>
      </c>
      <c r="AA15" s="45">
        <f t="shared" si="18"/>
        <v>0.08491858992</v>
      </c>
      <c r="AB15" s="45" t="str">
        <f t="shared" si="18"/>
        <v>-</v>
      </c>
      <c r="AC15" s="45" t="str">
        <f t="shared" si="18"/>
        <v>-</v>
      </c>
      <c r="AD15" s="45" t="str">
        <f t="shared" si="18"/>
        <v>-</v>
      </c>
      <c r="AE15" s="45" t="str">
        <f t="shared" si="18"/>
        <v>-</v>
      </c>
      <c r="AF15" s="45" t="str">
        <f t="shared" si="18"/>
        <v>-</v>
      </c>
      <c r="AG15" s="14"/>
      <c r="AH15" s="45">
        <f t="shared" si="8"/>
        <v>0.008747993119</v>
      </c>
      <c r="AI15" s="45">
        <f t="shared" ref="AI15:AT15" si="19">IFERROR(($D15-U15)*ln($D15/U15),"-")</f>
        <v>0.00001635131925</v>
      </c>
      <c r="AJ15" s="45">
        <f t="shared" si="19"/>
        <v>0.0001986568642</v>
      </c>
      <c r="AK15" s="45">
        <f t="shared" si="19"/>
        <v>0.0005278179287</v>
      </c>
      <c r="AL15" s="45">
        <f t="shared" si="19"/>
        <v>0.001242816659</v>
      </c>
      <c r="AM15" s="45">
        <f t="shared" si="19"/>
        <v>0.0005635750367</v>
      </c>
      <c r="AN15" s="45">
        <f t="shared" si="19"/>
        <v>0.002957195628</v>
      </c>
      <c r="AO15" s="45">
        <f t="shared" si="19"/>
        <v>0.002548825002</v>
      </c>
      <c r="AP15" s="45" t="str">
        <f t="shared" si="19"/>
        <v>-</v>
      </c>
      <c r="AQ15" s="45" t="str">
        <f t="shared" si="19"/>
        <v>-</v>
      </c>
      <c r="AR15" s="45" t="str">
        <f t="shared" si="19"/>
        <v>-</v>
      </c>
      <c r="AS15" s="45" t="str">
        <f t="shared" si="19"/>
        <v>-</v>
      </c>
      <c r="AT15" s="45" t="str">
        <f t="shared" si="19"/>
        <v>-</v>
      </c>
    </row>
    <row r="16">
      <c r="A16" s="14"/>
      <c r="B16" s="43" t="s">
        <v>612</v>
      </c>
      <c r="C16" s="46">
        <f>SUMIFS(CUBE!$E:$E,CUBE!$A:$A,$B$6,CUBE!$B:$B,C$8,CUBE!$C:$C,$B$8,CUBE!$D:$D,$B16)</f>
        <v>5184</v>
      </c>
      <c r="D16" s="47">
        <f t="shared" si="5"/>
        <v>0.09959080168</v>
      </c>
      <c r="E16" s="14"/>
      <c r="F16" s="46">
        <f>SUMIFS(CUBE!$E:$E,CUBE!$A:$A,$B$6,CUBE!$B:$B,F$8,CUBE!$C:$C,$B$8,CUBE!$D:$D,$B16)</f>
        <v>4089</v>
      </c>
      <c r="G16" s="46">
        <f>SUMIFS(CUBE!$E:$E,CUBE!$A:$A,$B$6,CUBE!$B:$B,G$8,CUBE!$C:$C,$B$8,CUBE!$D:$D,$B16)</f>
        <v>87937</v>
      </c>
      <c r="H16" s="46">
        <f>SUMIFS(CUBE!$E:$E,CUBE!$A:$A,$B$6,CUBE!$B:$B,H$8,CUBE!$C:$C,$B$8,CUBE!$D:$D,$B16)</f>
        <v>201029</v>
      </c>
      <c r="I16" s="46">
        <f>SUMIFS(CUBE!$E:$E,CUBE!$A:$A,$B$6,CUBE!$B:$B,I$8,CUBE!$C:$C,$B$8,CUBE!$D:$D,$B16)</f>
        <v>115958</v>
      </c>
      <c r="J16" s="46">
        <f>SUMIFS(CUBE!$E:$E,CUBE!$A:$A,$B$6,CUBE!$B:$B,J$8,CUBE!$C:$C,$B$8,CUBE!$D:$D,$B16)</f>
        <v>81150</v>
      </c>
      <c r="K16" s="46">
        <f>SUMIFS(CUBE!$E:$E,CUBE!$A:$A,$B$6,CUBE!$B:$B,K$8,CUBE!$C:$C,$B$8,CUBE!$D:$D,$B16)</f>
        <v>55244</v>
      </c>
      <c r="L16" s="46">
        <f>SUMIFS(CUBE!$E:$E,CUBE!$A:$A,$B$6,CUBE!$B:$B,L$8,CUBE!$C:$C,$B$8,CUBE!$D:$D,$B16)</f>
        <v>54605</v>
      </c>
      <c r="M16" s="46">
        <f>SUMIFS(CUBE!$E:$E,CUBE!$A:$A,$B$6,CUBE!$B:$B,M$8,CUBE!$C:$C,$B$8,CUBE!$D:$D,$B16)</f>
        <v>46157</v>
      </c>
      <c r="N16" s="46">
        <f>SUMIFS(CUBE!$E:$E,CUBE!$A:$A,$B$6,CUBE!$B:$B,N$8,CUBE!$C:$C,$B$8,CUBE!$D:$D,$B16)</f>
        <v>0</v>
      </c>
      <c r="O16" s="46">
        <f>SUMIFS(CUBE!$E:$E,CUBE!$A:$A,$B$6,CUBE!$B:$B,O$8,CUBE!$C:$C,$B$8,CUBE!$D:$D,$B16)</f>
        <v>0</v>
      </c>
      <c r="P16" s="46">
        <f>SUMIFS(CUBE!$E:$E,CUBE!$A:$A,$B$6,CUBE!$B:$B,P$8,CUBE!$C:$C,$B$8,CUBE!$D:$D,$B16)</f>
        <v>0</v>
      </c>
      <c r="Q16" s="46">
        <f>SUMIFS(CUBE!$E:$E,CUBE!$A:$A,$B$6,CUBE!$B:$B,Q$8,CUBE!$C:$C,$B$8,CUBE!$D:$D,$B16)</f>
        <v>0</v>
      </c>
      <c r="R16" s="46">
        <f>SUMIFS(CUBE!$E:$E,CUBE!$A:$A,$B$6,CUBE!$B:$B,R$8,CUBE!$C:$C,$B$8,CUBE!$D:$D,$B16)</f>
        <v>0</v>
      </c>
      <c r="S16" s="14"/>
      <c r="T16" s="47">
        <f t="shared" si="6"/>
        <v>0.06293383405</v>
      </c>
      <c r="U16" s="47">
        <f t="shared" ref="U16:AF16" si="20">IFERROR(G16/G$19,"-")</f>
        <v>0.08422987475</v>
      </c>
      <c r="V16" s="47">
        <f t="shared" si="20"/>
        <v>0.08098614813</v>
      </c>
      <c r="W16" s="47">
        <f t="shared" si="20"/>
        <v>0.07575389359</v>
      </c>
      <c r="X16" s="47">
        <f t="shared" si="20"/>
        <v>0.07180075225</v>
      </c>
      <c r="Y16" s="47">
        <f t="shared" si="20"/>
        <v>0.07237625591</v>
      </c>
      <c r="Z16" s="47">
        <f t="shared" si="20"/>
        <v>0.06325125709</v>
      </c>
      <c r="AA16" s="47">
        <f t="shared" si="20"/>
        <v>0.06117950512</v>
      </c>
      <c r="AB16" s="47" t="str">
        <f t="shared" si="20"/>
        <v>-</v>
      </c>
      <c r="AC16" s="47" t="str">
        <f t="shared" si="20"/>
        <v>-</v>
      </c>
      <c r="AD16" s="47" t="str">
        <f t="shared" si="20"/>
        <v>-</v>
      </c>
      <c r="AE16" s="47" t="str">
        <f t="shared" si="20"/>
        <v>-</v>
      </c>
      <c r="AF16" s="47" t="str">
        <f t="shared" si="20"/>
        <v>-</v>
      </c>
      <c r="AG16" s="14"/>
      <c r="AH16" s="47">
        <f t="shared" si="8"/>
        <v>0.01682503078</v>
      </c>
      <c r="AI16" s="47">
        <f t="shared" ref="AI16:AT16" si="21">IFERROR(($D16-U16)*ln($D16/U16),"-")</f>
        <v>0.002573264667</v>
      </c>
      <c r="AJ16" s="47">
        <f t="shared" si="21"/>
        <v>0.003847287535</v>
      </c>
      <c r="AK16" s="47">
        <f t="shared" si="21"/>
        <v>0.00652130046</v>
      </c>
      <c r="AL16" s="47">
        <f t="shared" si="21"/>
        <v>0.009092205387</v>
      </c>
      <c r="AM16" s="47">
        <f t="shared" si="21"/>
        <v>0.008686652207</v>
      </c>
      <c r="AN16" s="47">
        <f t="shared" si="21"/>
        <v>0.01649651089</v>
      </c>
      <c r="AO16" s="47">
        <f t="shared" si="21"/>
        <v>0.01871619456</v>
      </c>
      <c r="AP16" s="47" t="str">
        <f t="shared" si="21"/>
        <v>-</v>
      </c>
      <c r="AQ16" s="47" t="str">
        <f t="shared" si="21"/>
        <v>-</v>
      </c>
      <c r="AR16" s="47" t="str">
        <f t="shared" si="21"/>
        <v>-</v>
      </c>
      <c r="AS16" s="47" t="str">
        <f t="shared" si="21"/>
        <v>-</v>
      </c>
      <c r="AT16" s="47" t="str">
        <f t="shared" si="21"/>
        <v>-</v>
      </c>
    </row>
    <row r="17">
      <c r="A17" s="14"/>
      <c r="B17" s="43" t="s">
        <v>627</v>
      </c>
      <c r="C17" s="44">
        <f>SUMIFS(CUBE!$E:$E,CUBE!$A:$A,$B$6,CUBE!$B:$B,C$8,CUBE!$C:$C,$B$8,CUBE!$D:$D,$B17)</f>
        <v>5235</v>
      </c>
      <c r="D17" s="45">
        <f t="shared" si="5"/>
        <v>0.1005705723</v>
      </c>
      <c r="E17" s="14"/>
      <c r="F17" s="44">
        <f>SUMIFS(CUBE!$E:$E,CUBE!$A:$A,$B$6,CUBE!$B:$B,F$8,CUBE!$C:$C,$B$8,CUBE!$D:$D,$B17)</f>
        <v>4899</v>
      </c>
      <c r="G17" s="44">
        <f>SUMIFS(CUBE!$E:$E,CUBE!$A:$A,$B$6,CUBE!$B:$B,G$8,CUBE!$C:$C,$B$8,CUBE!$D:$D,$B17)</f>
        <v>80056</v>
      </c>
      <c r="H17" s="44">
        <f>SUMIFS(CUBE!$E:$E,CUBE!$A:$A,$B$6,CUBE!$B:$B,H$8,CUBE!$C:$C,$B$8,CUBE!$D:$D,$B17)</f>
        <v>126141</v>
      </c>
      <c r="I17" s="44">
        <f>SUMIFS(CUBE!$E:$E,CUBE!$A:$A,$B$6,CUBE!$B:$B,I$8,CUBE!$C:$C,$B$8,CUBE!$D:$D,$B17)</f>
        <v>101714</v>
      </c>
      <c r="J17" s="44">
        <f>SUMIFS(CUBE!$E:$E,CUBE!$A:$A,$B$6,CUBE!$B:$B,J$8,CUBE!$C:$C,$B$8,CUBE!$D:$D,$B17)</f>
        <v>83927</v>
      </c>
      <c r="K17" s="44">
        <f>SUMIFS(CUBE!$E:$E,CUBE!$A:$A,$B$6,CUBE!$B:$B,K$8,CUBE!$C:$C,$B$8,CUBE!$D:$D,$B17)</f>
        <v>56192</v>
      </c>
      <c r="L17" s="44">
        <f>SUMIFS(CUBE!$E:$E,CUBE!$A:$A,$B$6,CUBE!$B:$B,L$8,CUBE!$C:$C,$B$8,CUBE!$D:$D,$B17)</f>
        <v>55314</v>
      </c>
      <c r="M17" s="44">
        <f>SUMIFS(CUBE!$E:$E,CUBE!$A:$A,$B$6,CUBE!$B:$B,M$8,CUBE!$C:$C,$B$8,CUBE!$D:$D,$B17)</f>
        <v>43734</v>
      </c>
      <c r="N17" s="44">
        <f>SUMIFS(CUBE!$E:$E,CUBE!$A:$A,$B$6,CUBE!$B:$B,N$8,CUBE!$C:$C,$B$8,CUBE!$D:$D,$B17)</f>
        <v>0</v>
      </c>
      <c r="O17" s="44">
        <f>SUMIFS(CUBE!$E:$E,CUBE!$A:$A,$B$6,CUBE!$B:$B,O$8,CUBE!$C:$C,$B$8,CUBE!$D:$D,$B17)</f>
        <v>0</v>
      </c>
      <c r="P17" s="44">
        <f>SUMIFS(CUBE!$E:$E,CUBE!$A:$A,$B$6,CUBE!$B:$B,P$8,CUBE!$C:$C,$B$8,CUBE!$D:$D,$B17)</f>
        <v>0</v>
      </c>
      <c r="Q17" s="44">
        <f>SUMIFS(CUBE!$E:$E,CUBE!$A:$A,$B$6,CUBE!$B:$B,Q$8,CUBE!$C:$C,$B$8,CUBE!$D:$D,$B17)</f>
        <v>0</v>
      </c>
      <c r="R17" s="44">
        <f>SUMIFS(CUBE!$E:$E,CUBE!$A:$A,$B$6,CUBE!$B:$B,R$8,CUBE!$C:$C,$B$8,CUBE!$D:$D,$B17)</f>
        <v>0</v>
      </c>
      <c r="S17" s="14"/>
      <c r="T17" s="45">
        <f t="shared" si="6"/>
        <v>0.075400551</v>
      </c>
      <c r="U17" s="45">
        <f t="shared" ref="U17:AF17" si="22">IFERROR(G17/G$19,"-")</f>
        <v>0.07668111095</v>
      </c>
      <c r="V17" s="45">
        <f t="shared" si="22"/>
        <v>0.05081691553</v>
      </c>
      <c r="W17" s="45">
        <f t="shared" si="22"/>
        <v>0.06644846869</v>
      </c>
      <c r="X17" s="45">
        <f t="shared" si="22"/>
        <v>0.07425781558</v>
      </c>
      <c r="Y17" s="45">
        <f t="shared" si="22"/>
        <v>0.07361824944</v>
      </c>
      <c r="Z17" s="45">
        <f t="shared" si="22"/>
        <v>0.06407252147</v>
      </c>
      <c r="AA17" s="45">
        <f t="shared" si="22"/>
        <v>0.05796790253</v>
      </c>
      <c r="AB17" s="45" t="str">
        <f t="shared" si="22"/>
        <v>-</v>
      </c>
      <c r="AC17" s="45" t="str">
        <f t="shared" si="22"/>
        <v>-</v>
      </c>
      <c r="AD17" s="45" t="str">
        <f t="shared" si="22"/>
        <v>-</v>
      </c>
      <c r="AE17" s="45" t="str">
        <f t="shared" si="22"/>
        <v>-</v>
      </c>
      <c r="AF17" s="45" t="str">
        <f t="shared" si="22"/>
        <v>-</v>
      </c>
      <c r="AG17" s="14"/>
      <c r="AH17" s="45">
        <f t="shared" si="8"/>
        <v>0.007250101564</v>
      </c>
      <c r="AI17" s="45">
        <f t="shared" ref="AI17:AT17" si="23">IFERROR(($D17-U17)*ln($D17/U17),"-")</f>
        <v>0.006478924331</v>
      </c>
      <c r="AJ17" s="45">
        <f t="shared" si="23"/>
        <v>0.03396335918</v>
      </c>
      <c r="AK17" s="45">
        <f t="shared" si="23"/>
        <v>0.01414132415</v>
      </c>
      <c r="AL17" s="45">
        <f t="shared" si="23"/>
        <v>0.007981097501</v>
      </c>
      <c r="AM17" s="45">
        <f t="shared" si="23"/>
        <v>0.008408228395</v>
      </c>
      <c r="AN17" s="45">
        <f t="shared" si="23"/>
        <v>0.016454931</v>
      </c>
      <c r="AO17" s="45">
        <f t="shared" si="23"/>
        <v>0.0234728032</v>
      </c>
      <c r="AP17" s="45" t="str">
        <f t="shared" si="23"/>
        <v>-</v>
      </c>
      <c r="AQ17" s="45" t="str">
        <f t="shared" si="23"/>
        <v>-</v>
      </c>
      <c r="AR17" s="45" t="str">
        <f t="shared" si="23"/>
        <v>-</v>
      </c>
      <c r="AS17" s="45" t="str">
        <f t="shared" si="23"/>
        <v>-</v>
      </c>
      <c r="AT17" s="45" t="str">
        <f t="shared" si="23"/>
        <v>-</v>
      </c>
    </row>
    <row r="18">
      <c r="A18" s="14"/>
      <c r="B18" s="43" t="s">
        <v>604</v>
      </c>
      <c r="C18" s="46">
        <f>SUMIFS(CUBE!$E:$E,CUBE!$A:$A,$B$6,CUBE!$B:$B,C$8,CUBE!$C:$C,$B$8,CUBE!$D:$D,$B18)</f>
        <v>5130</v>
      </c>
      <c r="D18" s="47">
        <f t="shared" si="5"/>
        <v>0.0985533975</v>
      </c>
      <c r="E18" s="14"/>
      <c r="F18" s="46">
        <f>SUMIFS(CUBE!$E:$E,CUBE!$A:$A,$B$6,CUBE!$B:$B,F$8,CUBE!$C:$C,$B$8,CUBE!$D:$D,$B18)</f>
        <v>3355</v>
      </c>
      <c r="G18" s="46">
        <f>SUMIFS(CUBE!$E:$E,CUBE!$A:$A,$B$6,CUBE!$B:$B,G$8,CUBE!$C:$C,$B$8,CUBE!$D:$D,$B18)</f>
        <v>69415</v>
      </c>
      <c r="H18" s="46">
        <f>SUMIFS(CUBE!$E:$E,CUBE!$A:$A,$B$6,CUBE!$B:$B,H$8,CUBE!$C:$C,$B$8,CUBE!$D:$D,$B18)</f>
        <v>108084</v>
      </c>
      <c r="I18" s="46">
        <f>SUMIFS(CUBE!$E:$E,CUBE!$A:$A,$B$6,CUBE!$B:$B,I$8,CUBE!$C:$C,$B$8,CUBE!$D:$D,$B18)</f>
        <v>86653</v>
      </c>
      <c r="J18" s="46">
        <f>SUMIFS(CUBE!$E:$E,CUBE!$A:$A,$B$6,CUBE!$B:$B,J$8,CUBE!$C:$C,$B$8,CUBE!$D:$D,$B18)</f>
        <v>72017</v>
      </c>
      <c r="K18" s="46">
        <f>SUMIFS(CUBE!$E:$E,CUBE!$A:$A,$B$6,CUBE!$B:$B,K$8,CUBE!$C:$C,$B$8,CUBE!$D:$D,$B18)</f>
        <v>51612</v>
      </c>
      <c r="L18" s="46">
        <f>SUMIFS(CUBE!$E:$E,CUBE!$A:$A,$B$6,CUBE!$B:$B,L$8,CUBE!$C:$C,$B$8,CUBE!$D:$D,$B18)</f>
        <v>48839</v>
      </c>
      <c r="M18" s="46">
        <f>SUMIFS(CUBE!$E:$E,CUBE!$A:$A,$B$6,CUBE!$B:$B,M$8,CUBE!$C:$C,$B$8,CUBE!$D:$D,$B18)</f>
        <v>39070</v>
      </c>
      <c r="N18" s="46">
        <f>SUMIFS(CUBE!$E:$E,CUBE!$A:$A,$B$6,CUBE!$B:$B,N$8,CUBE!$C:$C,$B$8,CUBE!$D:$D,$B18)</f>
        <v>0</v>
      </c>
      <c r="O18" s="46">
        <f>SUMIFS(CUBE!$E:$E,CUBE!$A:$A,$B$6,CUBE!$B:$B,O$8,CUBE!$C:$C,$B$8,CUBE!$D:$D,$B18)</f>
        <v>0</v>
      </c>
      <c r="P18" s="46">
        <f>SUMIFS(CUBE!$E:$E,CUBE!$A:$A,$B$6,CUBE!$B:$B,P$8,CUBE!$C:$C,$B$8,CUBE!$D:$D,$B18)</f>
        <v>0</v>
      </c>
      <c r="Q18" s="46">
        <f>SUMIFS(CUBE!$E:$E,CUBE!$A:$A,$B$6,CUBE!$B:$B,Q$8,CUBE!$C:$C,$B$8,CUBE!$D:$D,$B18)</f>
        <v>0</v>
      </c>
      <c r="R18" s="46">
        <f>SUMIFS(CUBE!$E:$E,CUBE!$A:$A,$B$6,CUBE!$B:$B,R$8,CUBE!$C:$C,$B$8,CUBE!$D:$D,$B18)</f>
        <v>0</v>
      </c>
      <c r="S18" s="14"/>
      <c r="T18" s="47">
        <f t="shared" si="6"/>
        <v>0.05163683376</v>
      </c>
      <c r="U18" s="47">
        <f t="shared" ref="U18:AF18" si="24">IFERROR(G18/G$19,"-")</f>
        <v>0.06648869936</v>
      </c>
      <c r="V18" s="47">
        <f t="shared" si="24"/>
        <v>0.04354250797</v>
      </c>
      <c r="W18" s="47">
        <f t="shared" si="24"/>
        <v>0.05660930804</v>
      </c>
      <c r="X18" s="47">
        <f t="shared" si="24"/>
        <v>0.06371996026</v>
      </c>
      <c r="Y18" s="47">
        <f t="shared" si="24"/>
        <v>0.06761790095</v>
      </c>
      <c r="Z18" s="47">
        <f t="shared" si="24"/>
        <v>0.05657225794</v>
      </c>
      <c r="AA18" s="47">
        <f t="shared" si="24"/>
        <v>0.05178593204</v>
      </c>
      <c r="AB18" s="47" t="str">
        <f t="shared" si="24"/>
        <v>-</v>
      </c>
      <c r="AC18" s="47" t="str">
        <f t="shared" si="24"/>
        <v>-</v>
      </c>
      <c r="AD18" s="47" t="str">
        <f t="shared" si="24"/>
        <v>-</v>
      </c>
      <c r="AE18" s="47" t="str">
        <f t="shared" si="24"/>
        <v>-</v>
      </c>
      <c r="AF18" s="47" t="str">
        <f t="shared" si="24"/>
        <v>-</v>
      </c>
      <c r="AG18" s="14"/>
      <c r="AH18" s="47">
        <f t="shared" si="8"/>
        <v>0.03032514297</v>
      </c>
      <c r="AI18" s="47">
        <f t="shared" ref="AI18:AT18" si="25">IFERROR(($D18-U18)*ln($D18/U18),"-")</f>
        <v>0.01261959131</v>
      </c>
      <c r="AJ18" s="47">
        <f t="shared" si="25"/>
        <v>0.0449362421</v>
      </c>
      <c r="AK18" s="47">
        <f t="shared" si="25"/>
        <v>0.02325485529</v>
      </c>
      <c r="AL18" s="47">
        <f t="shared" si="25"/>
        <v>0.0151908845</v>
      </c>
      <c r="AM18" s="47">
        <f t="shared" si="25"/>
        <v>0.01165419823</v>
      </c>
      <c r="AN18" s="47">
        <f t="shared" si="25"/>
        <v>0.02330288192</v>
      </c>
      <c r="AO18" s="47">
        <f t="shared" si="25"/>
        <v>0.03009392763</v>
      </c>
      <c r="AP18" s="47" t="str">
        <f t="shared" si="25"/>
        <v>-</v>
      </c>
      <c r="AQ18" s="47" t="str">
        <f t="shared" si="25"/>
        <v>-</v>
      </c>
      <c r="AR18" s="47" t="str">
        <f t="shared" si="25"/>
        <v>-</v>
      </c>
      <c r="AS18" s="47" t="str">
        <f t="shared" si="25"/>
        <v>-</v>
      </c>
      <c r="AT18" s="47" t="str">
        <f t="shared" si="25"/>
        <v>-</v>
      </c>
    </row>
    <row r="19">
      <c r="A19" s="14"/>
      <c r="B19" s="48" t="s">
        <v>657</v>
      </c>
      <c r="C19" s="49">
        <f>SUM(C9:C18)</f>
        <v>52053</v>
      </c>
      <c r="D19" s="50">
        <f t="shared" si="5"/>
        <v>1</v>
      </c>
      <c r="E19" s="14"/>
      <c r="F19" s="49">
        <f t="shared" ref="F19:R19" si="26">SUM(F9:F18)</f>
        <v>64973</v>
      </c>
      <c r="G19" s="49">
        <f t="shared" si="26"/>
        <v>1044012</v>
      </c>
      <c r="H19" s="49">
        <f t="shared" si="26"/>
        <v>2482264</v>
      </c>
      <c r="I19" s="49">
        <f t="shared" si="26"/>
        <v>1530720</v>
      </c>
      <c r="J19" s="49">
        <f t="shared" si="26"/>
        <v>1130211</v>
      </c>
      <c r="K19" s="49">
        <f t="shared" si="26"/>
        <v>763289</v>
      </c>
      <c r="L19" s="49">
        <f t="shared" si="26"/>
        <v>863303</v>
      </c>
      <c r="M19" s="49">
        <f t="shared" si="26"/>
        <v>754452</v>
      </c>
      <c r="N19" s="49">
        <f t="shared" si="26"/>
        <v>0</v>
      </c>
      <c r="O19" s="49">
        <f t="shared" si="26"/>
        <v>0</v>
      </c>
      <c r="P19" s="49">
        <f t="shared" si="26"/>
        <v>0</v>
      </c>
      <c r="Q19" s="49">
        <f t="shared" si="26"/>
        <v>0</v>
      </c>
      <c r="R19" s="49">
        <f t="shared" si="26"/>
        <v>0</v>
      </c>
      <c r="S19" s="14"/>
      <c r="T19" s="50">
        <f t="shared" si="6"/>
        <v>1</v>
      </c>
      <c r="U19" s="50">
        <f t="shared" ref="U19:AF19" si="27">IFERROR(G19/G$19,"-")</f>
        <v>1</v>
      </c>
      <c r="V19" s="50">
        <f t="shared" si="27"/>
        <v>1</v>
      </c>
      <c r="W19" s="50">
        <f t="shared" si="27"/>
        <v>1</v>
      </c>
      <c r="X19" s="50">
        <f t="shared" si="27"/>
        <v>1</v>
      </c>
      <c r="Y19" s="50">
        <f t="shared" si="27"/>
        <v>1</v>
      </c>
      <c r="Z19" s="50">
        <f t="shared" si="27"/>
        <v>1</v>
      </c>
      <c r="AA19" s="50">
        <f t="shared" si="27"/>
        <v>1</v>
      </c>
      <c r="AB19" s="50" t="str">
        <f t="shared" si="27"/>
        <v>-</v>
      </c>
      <c r="AC19" s="50" t="str">
        <f t="shared" si="27"/>
        <v>-</v>
      </c>
      <c r="AD19" s="50" t="str">
        <f t="shared" si="27"/>
        <v>-</v>
      </c>
      <c r="AE19" s="50" t="str">
        <f t="shared" si="27"/>
        <v>-</v>
      </c>
      <c r="AF19" s="50" t="str">
        <f t="shared" si="27"/>
        <v>-</v>
      </c>
      <c r="AG19" s="14"/>
      <c r="AH19" s="34">
        <f t="shared" ref="AH19:AT19" si="28">SUM(AH9:AH18)</f>
        <v>0.09939275489</v>
      </c>
      <c r="AI19" s="34">
        <f t="shared" si="28"/>
        <v>0.04202046392</v>
      </c>
      <c r="AJ19" s="34">
        <f t="shared" si="28"/>
        <v>0.114324378</v>
      </c>
      <c r="AK19" s="34">
        <f t="shared" si="28"/>
        <v>0.07095338945</v>
      </c>
      <c r="AL19" s="34">
        <f t="shared" si="28"/>
        <v>0.06089564332</v>
      </c>
      <c r="AM19" s="34">
        <f t="shared" si="28"/>
        <v>0.05935135505</v>
      </c>
      <c r="AN19" s="34">
        <f t="shared" si="28"/>
        <v>0.09112353102</v>
      </c>
      <c r="AO19" s="34">
        <f t="shared" si="28"/>
        <v>0.1112424024</v>
      </c>
      <c r="AP19" s="34">
        <f t="shared" si="28"/>
        <v>0</v>
      </c>
      <c r="AQ19" s="34">
        <f t="shared" si="28"/>
        <v>0</v>
      </c>
      <c r="AR19" s="34">
        <f t="shared" si="28"/>
        <v>0</v>
      </c>
      <c r="AS19" s="34">
        <f t="shared" si="28"/>
        <v>0</v>
      </c>
      <c r="AT19" s="34">
        <f t="shared" si="28"/>
        <v>0</v>
      </c>
    </row>
    <row r="20" ht="15.75" customHeight="1">
      <c r="A20" s="14"/>
      <c r="B20" s="14"/>
      <c r="C20" s="51">
        <f>SUM(C19,F19)</f>
        <v>117026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>
      <c r="A21" s="14"/>
      <c r="B21" s="14"/>
      <c r="C21" s="14"/>
      <c r="D21" s="14"/>
      <c r="E21" s="14"/>
      <c r="F21" s="40" t="s">
        <v>655</v>
      </c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2"/>
      <c r="S21" s="14"/>
      <c r="T21" s="40" t="s">
        <v>656</v>
      </c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2"/>
      <c r="AG21" s="14"/>
      <c r="AH21" s="40" t="s">
        <v>657</v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2"/>
    </row>
    <row r="22">
      <c r="A22" s="14"/>
      <c r="B22" s="41" t="s">
        <v>597</v>
      </c>
      <c r="C22" s="15" t="s">
        <v>596</v>
      </c>
      <c r="D22" s="15" t="s">
        <v>596</v>
      </c>
      <c r="E22" s="14"/>
      <c r="F22" s="15" t="s">
        <v>601</v>
      </c>
      <c r="G22" s="42" t="s">
        <v>643</v>
      </c>
      <c r="H22" s="15" t="s">
        <v>644</v>
      </c>
      <c r="I22" s="15" t="s">
        <v>630</v>
      </c>
      <c r="J22" s="15" t="s">
        <v>629</v>
      </c>
      <c r="K22" s="15" t="s">
        <v>645</v>
      </c>
      <c r="L22" s="15" t="s">
        <v>628</v>
      </c>
      <c r="M22" s="15" t="s">
        <v>646</v>
      </c>
      <c r="N22" s="15" t="s">
        <v>658</v>
      </c>
      <c r="O22" s="15" t="s">
        <v>659</v>
      </c>
      <c r="P22" s="15" t="s">
        <v>660</v>
      </c>
      <c r="Q22" s="15" t="s">
        <v>661</v>
      </c>
      <c r="R22" s="15" t="s">
        <v>662</v>
      </c>
      <c r="S22" s="14"/>
      <c r="T22" s="15" t="s">
        <v>601</v>
      </c>
      <c r="U22" s="15" t="str">
        <f t="shared" ref="U22:AF22" si="29">G22</f>
        <v>2021-01</v>
      </c>
      <c r="V22" s="15" t="str">
        <f t="shared" si="29"/>
        <v>2021-02</v>
      </c>
      <c r="W22" s="15" t="str">
        <f t="shared" si="29"/>
        <v>2021-03</v>
      </c>
      <c r="X22" s="15" t="str">
        <f t="shared" si="29"/>
        <v>2021-04</v>
      </c>
      <c r="Y22" s="15" t="str">
        <f t="shared" si="29"/>
        <v>2021-05</v>
      </c>
      <c r="Z22" s="15" t="str">
        <f t="shared" si="29"/>
        <v>2021-06</v>
      </c>
      <c r="AA22" s="15" t="str">
        <f t="shared" si="29"/>
        <v>2021-07</v>
      </c>
      <c r="AB22" s="15" t="str">
        <f t="shared" si="29"/>
        <v>2021-08</v>
      </c>
      <c r="AC22" s="15" t="str">
        <f t="shared" si="29"/>
        <v>2021-09</v>
      </c>
      <c r="AD22" s="15" t="str">
        <f t="shared" si="29"/>
        <v>2021-10</v>
      </c>
      <c r="AE22" s="15" t="str">
        <f t="shared" si="29"/>
        <v>2021-11</v>
      </c>
      <c r="AF22" s="15" t="str">
        <f t="shared" si="29"/>
        <v>2021-12</v>
      </c>
      <c r="AG22" s="14"/>
      <c r="AH22" s="15" t="s">
        <v>601</v>
      </c>
      <c r="AI22" s="15" t="str">
        <f t="shared" ref="AI22:AT22" si="30">U22</f>
        <v>2021-01</v>
      </c>
      <c r="AJ22" s="15" t="str">
        <f t="shared" si="30"/>
        <v>2021-02</v>
      </c>
      <c r="AK22" s="15" t="str">
        <f t="shared" si="30"/>
        <v>2021-03</v>
      </c>
      <c r="AL22" s="15" t="str">
        <f t="shared" si="30"/>
        <v>2021-04</v>
      </c>
      <c r="AM22" s="15" t="str">
        <f t="shared" si="30"/>
        <v>2021-05</v>
      </c>
      <c r="AN22" s="15" t="str">
        <f t="shared" si="30"/>
        <v>2021-06</v>
      </c>
      <c r="AO22" s="15" t="str">
        <f t="shared" si="30"/>
        <v>2021-07</v>
      </c>
      <c r="AP22" s="15" t="str">
        <f t="shared" si="30"/>
        <v>2021-08</v>
      </c>
      <c r="AQ22" s="15" t="str">
        <f t="shared" si="30"/>
        <v>2021-09</v>
      </c>
      <c r="AR22" s="15" t="str">
        <f t="shared" si="30"/>
        <v>2021-10</v>
      </c>
      <c r="AS22" s="15" t="str">
        <f t="shared" si="30"/>
        <v>2021-11</v>
      </c>
      <c r="AT22" s="15" t="str">
        <f t="shared" si="30"/>
        <v>2021-12</v>
      </c>
    </row>
    <row r="23">
      <c r="A23" s="14"/>
      <c r="B23" s="43" t="s">
        <v>638</v>
      </c>
      <c r="C23" s="44">
        <f>SUMIFS(CUBE!$E:$E,CUBE!$A:$A,$B$6,CUBE!$B:$B,C$8,CUBE!$C:$C,$B$22,CUBE!$D:$D,$B23)</f>
        <v>5255</v>
      </c>
      <c r="D23" s="45">
        <f t="shared" ref="D23:D33" si="33">C23/C$19</f>
        <v>0.1009547961</v>
      </c>
      <c r="E23" s="14"/>
      <c r="F23" s="44">
        <f>SUMIFS(CUBE!$E:$E,CUBE!$A:$A,$B$6,CUBE!$B:$B,F$8,CUBE!$C:$C,$B$22,CUBE!$D:$D,$B23)</f>
        <v>8323</v>
      </c>
      <c r="G23" s="44">
        <f>SUMIFS(CUBE!$E:$E,CUBE!$A:$A,$B$6,CUBE!$B:$B,G$8,CUBE!$C:$C,$B$22,CUBE!$D:$D,$B23)</f>
        <v>92144</v>
      </c>
      <c r="H23" s="44">
        <f>SUMIFS(CUBE!$E:$E,CUBE!$A:$A,$B$6,CUBE!$B:$B,H$8,CUBE!$C:$C,$B$22,CUBE!$D:$D,$B23)</f>
        <v>313737</v>
      </c>
      <c r="I23" s="44">
        <f>SUMIFS(CUBE!$E:$E,CUBE!$A:$A,$B$6,CUBE!$B:$B,I$8,CUBE!$C:$C,$B$22,CUBE!$D:$D,$B23)</f>
        <v>191734</v>
      </c>
      <c r="J23" s="44">
        <f>SUMIFS(CUBE!$E:$E,CUBE!$A:$A,$B$6,CUBE!$B:$B,J$8,CUBE!$C:$C,$B$22,CUBE!$D:$D,$B23)</f>
        <v>103818</v>
      </c>
      <c r="K23" s="44">
        <f>SUMIFS(CUBE!$E:$E,CUBE!$A:$A,$B$6,CUBE!$B:$B,K$8,CUBE!$C:$C,$B$22,CUBE!$D:$D,$B23)</f>
        <v>66076</v>
      </c>
      <c r="L23" s="44">
        <f>SUMIFS(CUBE!$E:$E,CUBE!$A:$A,$B$6,CUBE!$B:$B,L$8,CUBE!$C:$C,$B$22,CUBE!$D:$D,$B23)</f>
        <v>90741</v>
      </c>
      <c r="M23" s="44">
        <f>SUMIFS(CUBE!$E:$E,CUBE!$A:$A,$B$6,CUBE!$B:$B,M$8,CUBE!$C:$C,$B$22,CUBE!$D:$D,$B23)</f>
        <v>79631</v>
      </c>
      <c r="N23" s="44">
        <f>SUMIFS(CUBE!$E:$E,CUBE!$A:$A,$B$6,CUBE!$B:$B,N$8,CUBE!$C:$C,$B$22,CUBE!$D:$D,$B23)</f>
        <v>0</v>
      </c>
      <c r="O23" s="44">
        <f>SUMIFS(CUBE!$E:$E,CUBE!$A:$A,$B$6,CUBE!$B:$B,O$8,CUBE!$C:$C,$B$22,CUBE!$D:$D,$B23)</f>
        <v>0</v>
      </c>
      <c r="P23" s="44">
        <f>SUMIFS(CUBE!$E:$E,CUBE!$A:$A,$B$6,CUBE!$B:$B,P$8,CUBE!$C:$C,$B$22,CUBE!$D:$D,$B23)</f>
        <v>0</v>
      </c>
      <c r="Q23" s="44">
        <f>SUMIFS(CUBE!$E:$E,CUBE!$A:$A,$B$6,CUBE!$B:$B,Q$8,CUBE!$C:$C,$B$22,CUBE!$D:$D,$B23)</f>
        <v>0</v>
      </c>
      <c r="R23" s="44">
        <f>SUMIFS(CUBE!$E:$E,CUBE!$A:$A,$B$6,CUBE!$B:$B,R$8,CUBE!$C:$C,$B$22,CUBE!$D:$D,$B23)</f>
        <v>0</v>
      </c>
      <c r="S23" s="14"/>
      <c r="T23" s="45">
        <f t="shared" ref="T23:T33" si="34">F23/F$19</f>
        <v>0.1280993644</v>
      </c>
      <c r="U23" s="45">
        <f t="shared" ref="U23:AF23" si="31">IFERROR(G23/G$19,"-")</f>
        <v>0.08825952192</v>
      </c>
      <c r="V23" s="45">
        <f t="shared" si="31"/>
        <v>0.1263914717</v>
      </c>
      <c r="W23" s="45">
        <f t="shared" si="31"/>
        <v>0.1252573952</v>
      </c>
      <c r="X23" s="45">
        <f t="shared" si="31"/>
        <v>0.09185718419</v>
      </c>
      <c r="Y23" s="45">
        <f t="shared" si="31"/>
        <v>0.08656747313</v>
      </c>
      <c r="Z23" s="45">
        <f t="shared" si="31"/>
        <v>0.1051090984</v>
      </c>
      <c r="AA23" s="45">
        <f t="shared" si="31"/>
        <v>0.1055481329</v>
      </c>
      <c r="AB23" s="45" t="str">
        <f t="shared" si="31"/>
        <v>-</v>
      </c>
      <c r="AC23" s="45" t="str">
        <f t="shared" si="31"/>
        <v>-</v>
      </c>
      <c r="AD23" s="45" t="str">
        <f t="shared" si="31"/>
        <v>-</v>
      </c>
      <c r="AE23" s="45" t="str">
        <f t="shared" si="31"/>
        <v>-</v>
      </c>
      <c r="AF23" s="45" t="str">
        <f t="shared" si="31"/>
        <v>-</v>
      </c>
      <c r="AG23" s="14"/>
      <c r="AH23" s="45">
        <f t="shared" ref="AH23:AH32" si="36">($D23-T23)*ln($D23/T23)</f>
        <v>0.006464028166</v>
      </c>
      <c r="AI23" s="45">
        <f t="shared" ref="AI23:AT23" si="32">IFERROR(($D23-U23)*ln($D23/U23),"-")</f>
        <v>0.001706133964</v>
      </c>
      <c r="AJ23" s="45">
        <f t="shared" si="32"/>
        <v>0.005715904758</v>
      </c>
      <c r="AK23" s="45">
        <f t="shared" si="32"/>
        <v>0.005242020299</v>
      </c>
      <c r="AL23" s="45">
        <f t="shared" si="32"/>
        <v>0.0008591587052</v>
      </c>
      <c r="AM23" s="45">
        <f t="shared" si="32"/>
        <v>0.002212032298</v>
      </c>
      <c r="AN23" s="45">
        <f t="shared" si="32"/>
        <v>0.0001675263567</v>
      </c>
      <c r="AO23" s="45">
        <f t="shared" si="32"/>
        <v>0.0002043769982</v>
      </c>
      <c r="AP23" s="45" t="str">
        <f t="shared" si="32"/>
        <v>-</v>
      </c>
      <c r="AQ23" s="45" t="str">
        <f t="shared" si="32"/>
        <v>-</v>
      </c>
      <c r="AR23" s="45" t="str">
        <f t="shared" si="32"/>
        <v>-</v>
      </c>
      <c r="AS23" s="45" t="str">
        <f t="shared" si="32"/>
        <v>-</v>
      </c>
      <c r="AT23" s="45" t="str">
        <f t="shared" si="32"/>
        <v>-</v>
      </c>
    </row>
    <row r="24">
      <c r="A24" s="14"/>
      <c r="B24" s="43" t="s">
        <v>618</v>
      </c>
      <c r="C24" s="46">
        <f>SUMIFS(CUBE!$E:$E,CUBE!$A:$A,$B$6,CUBE!$B:$B,C$8,CUBE!$C:$C,$B$22,CUBE!$D:$D,$B24)</f>
        <v>5224</v>
      </c>
      <c r="D24" s="47">
        <f t="shared" si="33"/>
        <v>0.1003592492</v>
      </c>
      <c r="E24" s="14"/>
      <c r="F24" s="46">
        <f>SUMIFS(CUBE!$E:$E,CUBE!$A:$A,$B$6,CUBE!$B:$B,F$8,CUBE!$C:$C,$B$22,CUBE!$D:$D,$B24)</f>
        <v>7858</v>
      </c>
      <c r="G24" s="46">
        <f>SUMIFS(CUBE!$E:$E,CUBE!$A:$A,$B$6,CUBE!$B:$B,G$8,CUBE!$C:$C,$B$22,CUBE!$D:$D,$B24)</f>
        <v>107994</v>
      </c>
      <c r="H24" s="46">
        <f>SUMIFS(CUBE!$E:$E,CUBE!$A:$A,$B$6,CUBE!$B:$B,H$8,CUBE!$C:$C,$B$22,CUBE!$D:$D,$B24)</f>
        <v>279521</v>
      </c>
      <c r="I24" s="46">
        <f>SUMIFS(CUBE!$E:$E,CUBE!$A:$A,$B$6,CUBE!$B:$B,I$8,CUBE!$C:$C,$B$22,CUBE!$D:$D,$B24)</f>
        <v>163094</v>
      </c>
      <c r="J24" s="46">
        <f>SUMIFS(CUBE!$E:$E,CUBE!$A:$A,$B$6,CUBE!$B:$B,J$8,CUBE!$C:$C,$B$22,CUBE!$D:$D,$B24)</f>
        <v>118529</v>
      </c>
      <c r="K24" s="46">
        <f>SUMIFS(CUBE!$E:$E,CUBE!$A:$A,$B$6,CUBE!$B:$B,K$8,CUBE!$C:$C,$B$22,CUBE!$D:$D,$B24)</f>
        <v>78044</v>
      </c>
      <c r="L24" s="46">
        <f>SUMIFS(CUBE!$E:$E,CUBE!$A:$A,$B$6,CUBE!$B:$B,L$8,CUBE!$C:$C,$B$22,CUBE!$D:$D,$B24)</f>
        <v>109873</v>
      </c>
      <c r="M24" s="46">
        <f>SUMIFS(CUBE!$E:$E,CUBE!$A:$A,$B$6,CUBE!$B:$B,M$8,CUBE!$C:$C,$B$22,CUBE!$D:$D,$B24)</f>
        <v>97476</v>
      </c>
      <c r="N24" s="46">
        <f>SUMIFS(CUBE!$E:$E,CUBE!$A:$A,$B$6,CUBE!$B:$B,N$8,CUBE!$C:$C,$B$22,CUBE!$D:$D,$B24)</f>
        <v>0</v>
      </c>
      <c r="O24" s="46">
        <f>SUMIFS(CUBE!$E:$E,CUBE!$A:$A,$B$6,CUBE!$B:$B,O$8,CUBE!$C:$C,$B$22,CUBE!$D:$D,$B24)</f>
        <v>0</v>
      </c>
      <c r="P24" s="46">
        <f>SUMIFS(CUBE!$E:$E,CUBE!$A:$A,$B$6,CUBE!$B:$B,P$8,CUBE!$C:$C,$B$22,CUBE!$D:$D,$B24)</f>
        <v>0</v>
      </c>
      <c r="Q24" s="46">
        <f>SUMIFS(CUBE!$E:$E,CUBE!$A:$A,$B$6,CUBE!$B:$B,Q$8,CUBE!$C:$C,$B$22,CUBE!$D:$D,$B24)</f>
        <v>0</v>
      </c>
      <c r="R24" s="46">
        <f>SUMIFS(CUBE!$E:$E,CUBE!$A:$A,$B$6,CUBE!$B:$B,R$8,CUBE!$C:$C,$B$22,CUBE!$D:$D,$B24)</f>
        <v>0</v>
      </c>
      <c r="S24" s="14"/>
      <c r="T24" s="47">
        <f t="shared" si="34"/>
        <v>0.1209425454</v>
      </c>
      <c r="U24" s="47">
        <f t="shared" ref="U24:AF24" si="35">IFERROR(G24/G$19,"-")</f>
        <v>0.1034413398</v>
      </c>
      <c r="V24" s="47">
        <f t="shared" si="35"/>
        <v>0.1126072811</v>
      </c>
      <c r="W24" s="47">
        <f t="shared" si="35"/>
        <v>0.1065472457</v>
      </c>
      <c r="X24" s="47">
        <f t="shared" si="35"/>
        <v>0.1048733378</v>
      </c>
      <c r="Y24" s="47">
        <f t="shared" si="35"/>
        <v>0.1022469864</v>
      </c>
      <c r="Z24" s="47">
        <f t="shared" si="35"/>
        <v>0.1272704948</v>
      </c>
      <c r="AA24" s="47">
        <f t="shared" si="35"/>
        <v>0.1292010625</v>
      </c>
      <c r="AB24" s="47" t="str">
        <f t="shared" si="35"/>
        <v>-</v>
      </c>
      <c r="AC24" s="47" t="str">
        <f t="shared" si="35"/>
        <v>-</v>
      </c>
      <c r="AD24" s="47" t="str">
        <f t="shared" si="35"/>
        <v>-</v>
      </c>
      <c r="AE24" s="47" t="str">
        <f t="shared" si="35"/>
        <v>-</v>
      </c>
      <c r="AF24" s="47" t="str">
        <f t="shared" si="35"/>
        <v>-</v>
      </c>
      <c r="AG24" s="14"/>
      <c r="AH24" s="47">
        <f t="shared" si="36"/>
        <v>0.003840006564</v>
      </c>
      <c r="AI24" s="47">
        <f t="shared" ref="AI24:AT24" si="37">IFERROR(($D24-U24)*ln($D24/U24),"-")</f>
        <v>0.00009322844801</v>
      </c>
      <c r="AJ24" s="47">
        <f t="shared" si="37"/>
        <v>0.001410362539</v>
      </c>
      <c r="AK24" s="47">
        <f t="shared" si="37"/>
        <v>0.0003702418663</v>
      </c>
      <c r="AL24" s="47">
        <f t="shared" si="37"/>
        <v>0.0001986066928</v>
      </c>
      <c r="AM24" s="47">
        <f t="shared" si="37"/>
        <v>0.00003517813494</v>
      </c>
      <c r="AN24" s="47">
        <f t="shared" si="37"/>
        <v>0.0063929941</v>
      </c>
      <c r="AO24" s="47">
        <f t="shared" si="37"/>
        <v>0.007285833538</v>
      </c>
      <c r="AP24" s="47" t="str">
        <f t="shared" si="37"/>
        <v>-</v>
      </c>
      <c r="AQ24" s="47" t="str">
        <f t="shared" si="37"/>
        <v>-</v>
      </c>
      <c r="AR24" s="47" t="str">
        <f t="shared" si="37"/>
        <v>-</v>
      </c>
      <c r="AS24" s="47" t="str">
        <f t="shared" si="37"/>
        <v>-</v>
      </c>
      <c r="AT24" s="47" t="str">
        <f t="shared" si="37"/>
        <v>-</v>
      </c>
    </row>
    <row r="25">
      <c r="A25" s="14"/>
      <c r="B25" s="43" t="s">
        <v>599</v>
      </c>
      <c r="C25" s="44">
        <f>SUMIFS(CUBE!$E:$E,CUBE!$A:$A,$B$6,CUBE!$B:$B,C$8,CUBE!$C:$C,$B$22,CUBE!$D:$D,$B25)</f>
        <v>5279</v>
      </c>
      <c r="D25" s="45">
        <f t="shared" si="33"/>
        <v>0.1014158646</v>
      </c>
      <c r="E25" s="14"/>
      <c r="F25" s="44">
        <f>SUMIFS(CUBE!$E:$E,CUBE!$A:$A,$B$6,CUBE!$B:$B,F$8,CUBE!$C:$C,$B$22,CUBE!$D:$D,$B25)</f>
        <v>7439</v>
      </c>
      <c r="G25" s="44">
        <f>SUMIFS(CUBE!$E:$E,CUBE!$A:$A,$B$6,CUBE!$B:$B,G$8,CUBE!$C:$C,$B$22,CUBE!$D:$D,$B25)</f>
        <v>121651</v>
      </c>
      <c r="H25" s="44">
        <f>SUMIFS(CUBE!$E:$E,CUBE!$A:$A,$B$6,CUBE!$B:$B,H$8,CUBE!$C:$C,$B$22,CUBE!$D:$D,$B25)</f>
        <v>315139</v>
      </c>
      <c r="I25" s="44">
        <f>SUMIFS(CUBE!$E:$E,CUBE!$A:$A,$B$6,CUBE!$B:$B,I$8,CUBE!$C:$C,$B$22,CUBE!$D:$D,$B25)</f>
        <v>178364</v>
      </c>
      <c r="J25" s="44">
        <f>SUMIFS(CUBE!$E:$E,CUBE!$A:$A,$B$6,CUBE!$B:$B,J$8,CUBE!$C:$C,$B$22,CUBE!$D:$D,$B25)</f>
        <v>127178</v>
      </c>
      <c r="K25" s="44">
        <f>SUMIFS(CUBE!$E:$E,CUBE!$A:$A,$B$6,CUBE!$B:$B,K$8,CUBE!$C:$C,$B$22,CUBE!$D:$D,$B25)</f>
        <v>87948</v>
      </c>
      <c r="L25" s="44">
        <f>SUMIFS(CUBE!$E:$E,CUBE!$A:$A,$B$6,CUBE!$B:$B,L$8,CUBE!$C:$C,$B$22,CUBE!$D:$D,$B25)</f>
        <v>99652</v>
      </c>
      <c r="M25" s="44">
        <f>SUMIFS(CUBE!$E:$E,CUBE!$A:$A,$B$6,CUBE!$B:$B,M$8,CUBE!$C:$C,$B$22,CUBE!$D:$D,$B25)</f>
        <v>90600</v>
      </c>
      <c r="N25" s="44">
        <f>SUMIFS(CUBE!$E:$E,CUBE!$A:$A,$B$6,CUBE!$B:$B,N$8,CUBE!$C:$C,$B$22,CUBE!$D:$D,$B25)</f>
        <v>0</v>
      </c>
      <c r="O25" s="44">
        <f>SUMIFS(CUBE!$E:$E,CUBE!$A:$A,$B$6,CUBE!$B:$B,O$8,CUBE!$C:$C,$B$22,CUBE!$D:$D,$B25)</f>
        <v>0</v>
      </c>
      <c r="P25" s="44">
        <f>SUMIFS(CUBE!$E:$E,CUBE!$A:$A,$B$6,CUBE!$B:$B,P$8,CUBE!$C:$C,$B$22,CUBE!$D:$D,$B25)</f>
        <v>0</v>
      </c>
      <c r="Q25" s="44">
        <f>SUMIFS(CUBE!$E:$E,CUBE!$A:$A,$B$6,CUBE!$B:$B,Q$8,CUBE!$C:$C,$B$22,CUBE!$D:$D,$B25)</f>
        <v>0</v>
      </c>
      <c r="R25" s="44">
        <f>SUMIFS(CUBE!$E:$E,CUBE!$A:$A,$B$6,CUBE!$B:$B,R$8,CUBE!$C:$C,$B$22,CUBE!$D:$D,$B25)</f>
        <v>0</v>
      </c>
      <c r="S25" s="14"/>
      <c r="T25" s="45">
        <f t="shared" si="34"/>
        <v>0.1144937128</v>
      </c>
      <c r="U25" s="45">
        <f t="shared" ref="U25:AF25" si="38">IFERROR(G25/G$19,"-")</f>
        <v>0.116522607</v>
      </c>
      <c r="V25" s="45">
        <f t="shared" si="38"/>
        <v>0.1269562786</v>
      </c>
      <c r="W25" s="45">
        <f t="shared" si="38"/>
        <v>0.1165229435</v>
      </c>
      <c r="X25" s="45">
        <f t="shared" si="38"/>
        <v>0.1125258912</v>
      </c>
      <c r="Y25" s="45">
        <f t="shared" si="38"/>
        <v>0.1152224125</v>
      </c>
      <c r="Z25" s="45">
        <f t="shared" si="38"/>
        <v>0.1154310827</v>
      </c>
      <c r="AA25" s="45">
        <f t="shared" si="38"/>
        <v>0.1200871626</v>
      </c>
      <c r="AB25" s="45" t="str">
        <f t="shared" si="38"/>
        <v>-</v>
      </c>
      <c r="AC25" s="45" t="str">
        <f t="shared" si="38"/>
        <v>-</v>
      </c>
      <c r="AD25" s="45" t="str">
        <f t="shared" si="38"/>
        <v>-</v>
      </c>
      <c r="AE25" s="45" t="str">
        <f t="shared" si="38"/>
        <v>-</v>
      </c>
      <c r="AF25" s="45" t="str">
        <f t="shared" si="38"/>
        <v>-</v>
      </c>
      <c r="AG25" s="14"/>
      <c r="AH25" s="45">
        <f t="shared" si="36"/>
        <v>0.001586217131</v>
      </c>
      <c r="AI25" s="45">
        <f t="shared" ref="AI25:AT25" si="39">IFERROR(($D25-U25)*ln($D25/U25),"-")</f>
        <v>0.002097658371</v>
      </c>
      <c r="AJ25" s="45">
        <f t="shared" si="39"/>
        <v>0.005736714885</v>
      </c>
      <c r="AK25" s="45">
        <f t="shared" si="39"/>
        <v>0.002097748704</v>
      </c>
      <c r="AL25" s="45">
        <f t="shared" si="39"/>
        <v>0.001154929531</v>
      </c>
      <c r="AM25" s="45">
        <f t="shared" si="39"/>
        <v>0.001762195254</v>
      </c>
      <c r="AN25" s="45">
        <f t="shared" si="39"/>
        <v>0.001814187728</v>
      </c>
      <c r="AO25" s="45">
        <f t="shared" si="39"/>
        <v>0.003155230901</v>
      </c>
      <c r="AP25" s="45" t="str">
        <f t="shared" si="39"/>
        <v>-</v>
      </c>
      <c r="AQ25" s="45" t="str">
        <f t="shared" si="39"/>
        <v>-</v>
      </c>
      <c r="AR25" s="45" t="str">
        <f t="shared" si="39"/>
        <v>-</v>
      </c>
      <c r="AS25" s="45" t="str">
        <f t="shared" si="39"/>
        <v>-</v>
      </c>
      <c r="AT25" s="45" t="str">
        <f t="shared" si="39"/>
        <v>-</v>
      </c>
    </row>
    <row r="26">
      <c r="A26" s="14"/>
      <c r="B26" s="43" t="s">
        <v>622</v>
      </c>
      <c r="C26" s="46">
        <f>SUMIFS(CUBE!$E:$E,CUBE!$A:$A,$B$6,CUBE!$B:$B,C$8,CUBE!$C:$C,$B$22,CUBE!$D:$D,$B26)</f>
        <v>5138</v>
      </c>
      <c r="D26" s="47">
        <f t="shared" si="33"/>
        <v>0.09870708701</v>
      </c>
      <c r="E26" s="14"/>
      <c r="F26" s="46">
        <f>SUMIFS(CUBE!$E:$E,CUBE!$A:$A,$B$6,CUBE!$B:$B,F$8,CUBE!$C:$C,$B$22,CUBE!$D:$D,$B26)</f>
        <v>7360</v>
      </c>
      <c r="G26" s="46">
        <f>SUMIFS(CUBE!$E:$E,CUBE!$A:$A,$B$6,CUBE!$B:$B,G$8,CUBE!$C:$C,$B$22,CUBE!$D:$D,$B26)</f>
        <v>109130</v>
      </c>
      <c r="H26" s="46">
        <f>SUMIFS(CUBE!$E:$E,CUBE!$A:$A,$B$6,CUBE!$B:$B,H$8,CUBE!$C:$C,$B$22,CUBE!$D:$D,$B26)</f>
        <v>286777</v>
      </c>
      <c r="I26" s="46">
        <f>SUMIFS(CUBE!$E:$E,CUBE!$A:$A,$B$6,CUBE!$B:$B,I$8,CUBE!$C:$C,$B$22,CUBE!$D:$D,$B26)</f>
        <v>166060</v>
      </c>
      <c r="J26" s="46">
        <f>SUMIFS(CUBE!$E:$E,CUBE!$A:$A,$B$6,CUBE!$B:$B,J$8,CUBE!$C:$C,$B$22,CUBE!$D:$D,$B26)</f>
        <v>118407</v>
      </c>
      <c r="K26" s="46">
        <f>SUMIFS(CUBE!$E:$E,CUBE!$A:$A,$B$6,CUBE!$B:$B,K$8,CUBE!$C:$C,$B$22,CUBE!$D:$D,$B26)</f>
        <v>80635</v>
      </c>
      <c r="L26" s="46">
        <f>SUMIFS(CUBE!$E:$E,CUBE!$A:$A,$B$6,CUBE!$B:$B,L$8,CUBE!$C:$C,$B$22,CUBE!$D:$D,$B26)</f>
        <v>101424</v>
      </c>
      <c r="M26" s="46">
        <f>SUMIFS(CUBE!$E:$E,CUBE!$A:$A,$B$6,CUBE!$B:$B,M$8,CUBE!$C:$C,$B$22,CUBE!$D:$D,$B26)</f>
        <v>91616</v>
      </c>
      <c r="N26" s="46">
        <f>SUMIFS(CUBE!$E:$E,CUBE!$A:$A,$B$6,CUBE!$B:$B,N$8,CUBE!$C:$C,$B$22,CUBE!$D:$D,$B26)</f>
        <v>0</v>
      </c>
      <c r="O26" s="46">
        <f>SUMIFS(CUBE!$E:$E,CUBE!$A:$A,$B$6,CUBE!$B:$B,O$8,CUBE!$C:$C,$B$22,CUBE!$D:$D,$B26)</f>
        <v>0</v>
      </c>
      <c r="P26" s="46">
        <f>SUMIFS(CUBE!$E:$E,CUBE!$A:$A,$B$6,CUBE!$B:$B,P$8,CUBE!$C:$C,$B$22,CUBE!$D:$D,$B26)</f>
        <v>0</v>
      </c>
      <c r="Q26" s="46">
        <f>SUMIFS(CUBE!$E:$E,CUBE!$A:$A,$B$6,CUBE!$B:$B,Q$8,CUBE!$C:$C,$B$22,CUBE!$D:$D,$B26)</f>
        <v>0</v>
      </c>
      <c r="R26" s="46">
        <f>SUMIFS(CUBE!$E:$E,CUBE!$A:$A,$B$6,CUBE!$B:$B,R$8,CUBE!$C:$C,$B$22,CUBE!$D:$D,$B26)</f>
        <v>0</v>
      </c>
      <c r="S26" s="14"/>
      <c r="T26" s="47">
        <f t="shared" si="34"/>
        <v>0.1132778231</v>
      </c>
      <c r="U26" s="47">
        <f t="shared" ref="U26:AF26" si="40">IFERROR(G26/G$19,"-")</f>
        <v>0.1045294499</v>
      </c>
      <c r="V26" s="47">
        <f t="shared" si="40"/>
        <v>0.115530419</v>
      </c>
      <c r="W26" s="47">
        <f t="shared" si="40"/>
        <v>0.108484896</v>
      </c>
      <c r="X26" s="47">
        <f t="shared" si="40"/>
        <v>0.1047653934</v>
      </c>
      <c r="Y26" s="47">
        <f t="shared" si="40"/>
        <v>0.1056415067</v>
      </c>
      <c r="Z26" s="47">
        <f t="shared" si="40"/>
        <v>0.1174836645</v>
      </c>
      <c r="AA26" s="47">
        <f t="shared" si="40"/>
        <v>0.1214338354</v>
      </c>
      <c r="AB26" s="47" t="str">
        <f t="shared" si="40"/>
        <v>-</v>
      </c>
      <c r="AC26" s="47" t="str">
        <f t="shared" si="40"/>
        <v>-</v>
      </c>
      <c r="AD26" s="47" t="str">
        <f t="shared" si="40"/>
        <v>-</v>
      </c>
      <c r="AE26" s="47" t="str">
        <f t="shared" si="40"/>
        <v>-</v>
      </c>
      <c r="AF26" s="47" t="str">
        <f t="shared" si="40"/>
        <v>-</v>
      </c>
      <c r="AG26" s="14"/>
      <c r="AH26" s="47">
        <f t="shared" si="36"/>
        <v>0.002006196064</v>
      </c>
      <c r="AI26" s="47">
        <f t="shared" ref="AI26:AT26" si="41">IFERROR(($D26-U26)*ln($D26/U26),"-")</f>
        <v>0.000333691848</v>
      </c>
      <c r="AJ26" s="47">
        <f t="shared" si="41"/>
        <v>0.00264760747</v>
      </c>
      <c r="AK26" s="47">
        <f t="shared" si="41"/>
        <v>0.000923555209</v>
      </c>
      <c r="AL26" s="47">
        <f t="shared" si="41"/>
        <v>0.0003608736443</v>
      </c>
      <c r="AM26" s="47">
        <f t="shared" si="41"/>
        <v>0.0004708096675</v>
      </c>
      <c r="AN26" s="47">
        <f t="shared" si="41"/>
        <v>0.003269801098</v>
      </c>
      <c r="AO26" s="47">
        <f t="shared" si="41"/>
        <v>0.004709273233</v>
      </c>
      <c r="AP26" s="47" t="str">
        <f t="shared" si="41"/>
        <v>-</v>
      </c>
      <c r="AQ26" s="47" t="str">
        <f t="shared" si="41"/>
        <v>-</v>
      </c>
      <c r="AR26" s="47" t="str">
        <f t="shared" si="41"/>
        <v>-</v>
      </c>
      <c r="AS26" s="47" t="str">
        <f t="shared" si="41"/>
        <v>-</v>
      </c>
      <c r="AT26" s="47" t="str">
        <f t="shared" si="41"/>
        <v>-</v>
      </c>
    </row>
    <row r="27">
      <c r="A27" s="14"/>
      <c r="B27" s="43" t="s">
        <v>621</v>
      </c>
      <c r="C27" s="44">
        <f>SUMIFS(CUBE!$E:$E,CUBE!$A:$A,$B$6,CUBE!$B:$B,C$8,CUBE!$C:$C,$B$22,CUBE!$D:$D,$B27)</f>
        <v>5264</v>
      </c>
      <c r="D27" s="45">
        <f t="shared" si="33"/>
        <v>0.1011276968</v>
      </c>
      <c r="E27" s="14"/>
      <c r="F27" s="44">
        <f>SUMIFS(CUBE!$E:$E,CUBE!$A:$A,$B$6,CUBE!$B:$B,F$8,CUBE!$C:$C,$B$22,CUBE!$D:$D,$B27)</f>
        <v>7157</v>
      </c>
      <c r="G27" s="44">
        <f>SUMIFS(CUBE!$E:$E,CUBE!$A:$A,$B$6,CUBE!$B:$B,G$8,CUBE!$C:$C,$B$22,CUBE!$D:$D,$B27)</f>
        <v>119539</v>
      </c>
      <c r="H27" s="44">
        <f>SUMIFS(CUBE!$E:$E,CUBE!$A:$A,$B$6,CUBE!$B:$B,H$8,CUBE!$C:$C,$B$22,CUBE!$D:$D,$B27)</f>
        <v>298893</v>
      </c>
      <c r="I27" s="44">
        <f>SUMIFS(CUBE!$E:$E,CUBE!$A:$A,$B$6,CUBE!$B:$B,I$8,CUBE!$C:$C,$B$22,CUBE!$D:$D,$B27)</f>
        <v>173597</v>
      </c>
      <c r="J27" s="44">
        <f>SUMIFS(CUBE!$E:$E,CUBE!$A:$A,$B$6,CUBE!$B:$B,J$8,CUBE!$C:$C,$B$22,CUBE!$D:$D,$B27)</f>
        <v>125167</v>
      </c>
      <c r="K27" s="44">
        <f>SUMIFS(CUBE!$E:$E,CUBE!$A:$A,$B$6,CUBE!$B:$B,K$8,CUBE!$C:$C,$B$22,CUBE!$D:$D,$B27)</f>
        <v>86723</v>
      </c>
      <c r="L27" s="44">
        <f>SUMIFS(CUBE!$E:$E,CUBE!$A:$A,$B$6,CUBE!$B:$B,L$8,CUBE!$C:$C,$B$22,CUBE!$D:$D,$B27)</f>
        <v>93390</v>
      </c>
      <c r="M27" s="44">
        <f>SUMIFS(CUBE!$E:$E,CUBE!$A:$A,$B$6,CUBE!$B:$B,M$8,CUBE!$C:$C,$B$22,CUBE!$D:$D,$B27)</f>
        <v>84827</v>
      </c>
      <c r="N27" s="44">
        <f>SUMIFS(CUBE!$E:$E,CUBE!$A:$A,$B$6,CUBE!$B:$B,N$8,CUBE!$C:$C,$B$22,CUBE!$D:$D,$B27)</f>
        <v>0</v>
      </c>
      <c r="O27" s="44">
        <f>SUMIFS(CUBE!$E:$E,CUBE!$A:$A,$B$6,CUBE!$B:$B,O$8,CUBE!$C:$C,$B$22,CUBE!$D:$D,$B27)</f>
        <v>0</v>
      </c>
      <c r="P27" s="44">
        <f>SUMIFS(CUBE!$E:$E,CUBE!$A:$A,$B$6,CUBE!$B:$B,P$8,CUBE!$C:$C,$B$22,CUBE!$D:$D,$B27)</f>
        <v>0</v>
      </c>
      <c r="Q27" s="44">
        <f>SUMIFS(CUBE!$E:$E,CUBE!$A:$A,$B$6,CUBE!$B:$B,Q$8,CUBE!$C:$C,$B$22,CUBE!$D:$D,$B27)</f>
        <v>0</v>
      </c>
      <c r="R27" s="44">
        <f>SUMIFS(CUBE!$E:$E,CUBE!$A:$A,$B$6,CUBE!$B:$B,R$8,CUBE!$C:$C,$B$22,CUBE!$D:$D,$B27)</f>
        <v>0</v>
      </c>
      <c r="S27" s="14"/>
      <c r="T27" s="45">
        <f t="shared" si="34"/>
        <v>0.1101534484</v>
      </c>
      <c r="U27" s="45">
        <f t="shared" ref="U27:AF27" si="42">IFERROR(G27/G$19,"-")</f>
        <v>0.1144996418</v>
      </c>
      <c r="V27" s="45">
        <f t="shared" si="42"/>
        <v>0.120411447</v>
      </c>
      <c r="W27" s="45">
        <f t="shared" si="42"/>
        <v>0.1134087227</v>
      </c>
      <c r="X27" s="45">
        <f t="shared" si="42"/>
        <v>0.1107465774</v>
      </c>
      <c r="Y27" s="45">
        <f t="shared" si="42"/>
        <v>0.1136175158</v>
      </c>
      <c r="Z27" s="45">
        <f t="shared" si="42"/>
        <v>0.108177546</v>
      </c>
      <c r="AA27" s="45">
        <f t="shared" si="42"/>
        <v>0.112435251</v>
      </c>
      <c r="AB27" s="45" t="str">
        <f t="shared" si="42"/>
        <v>-</v>
      </c>
      <c r="AC27" s="45" t="str">
        <f t="shared" si="42"/>
        <v>-</v>
      </c>
      <c r="AD27" s="45" t="str">
        <f t="shared" si="42"/>
        <v>-</v>
      </c>
      <c r="AE27" s="45" t="str">
        <f t="shared" si="42"/>
        <v>-</v>
      </c>
      <c r="AF27" s="45" t="str">
        <f t="shared" si="42"/>
        <v>-</v>
      </c>
      <c r="AG27" s="14"/>
      <c r="AH27" s="45">
        <f t="shared" si="36"/>
        <v>0.000771614536</v>
      </c>
      <c r="AI27" s="45">
        <f t="shared" ref="AI27:AT27" si="43">IFERROR(($D27-U27)*ln($D27/U27),"-")</f>
        <v>0.001660630446</v>
      </c>
      <c r="AJ27" s="45">
        <f t="shared" si="43"/>
        <v>0.003365603724</v>
      </c>
      <c r="AK27" s="45">
        <f t="shared" si="43"/>
        <v>0.001407580763</v>
      </c>
      <c r="AL27" s="45">
        <f t="shared" si="43"/>
        <v>0.0008739759385</v>
      </c>
      <c r="AM27" s="45">
        <f t="shared" si="43"/>
        <v>0.001454484885</v>
      </c>
      <c r="AN27" s="45">
        <f t="shared" si="43"/>
        <v>0.0004750877828</v>
      </c>
      <c r="AO27" s="45">
        <f t="shared" si="43"/>
        <v>0.001198526875</v>
      </c>
      <c r="AP27" s="45" t="str">
        <f t="shared" si="43"/>
        <v>-</v>
      </c>
      <c r="AQ27" s="45" t="str">
        <f t="shared" si="43"/>
        <v>-</v>
      </c>
      <c r="AR27" s="45" t="str">
        <f t="shared" si="43"/>
        <v>-</v>
      </c>
      <c r="AS27" s="45" t="str">
        <f t="shared" si="43"/>
        <v>-</v>
      </c>
      <c r="AT27" s="45" t="str">
        <f t="shared" si="43"/>
        <v>-</v>
      </c>
    </row>
    <row r="28">
      <c r="A28" s="14"/>
      <c r="B28" s="43" t="s">
        <v>631</v>
      </c>
      <c r="C28" s="46">
        <f>SUMIFS(CUBE!$E:$E,CUBE!$A:$A,$B$6,CUBE!$B:$B,C$8,CUBE!$C:$C,$B$22,CUBE!$D:$D,$B28)</f>
        <v>5277</v>
      </c>
      <c r="D28" s="47">
        <f t="shared" si="33"/>
        <v>0.1013774422</v>
      </c>
      <c r="E28" s="14"/>
      <c r="F28" s="46">
        <f>SUMIFS(CUBE!$E:$E,CUBE!$A:$A,$B$6,CUBE!$B:$B,F$8,CUBE!$C:$C,$B$22,CUBE!$D:$D,$B28)</f>
        <v>6518</v>
      </c>
      <c r="G28" s="46">
        <f>SUMIFS(CUBE!$E:$E,CUBE!$A:$A,$B$6,CUBE!$B:$B,G$8,CUBE!$C:$C,$B$22,CUBE!$D:$D,$B28)</f>
        <v>118463</v>
      </c>
      <c r="H28" s="46">
        <f>SUMIFS(CUBE!$E:$E,CUBE!$A:$A,$B$6,CUBE!$B:$B,H$8,CUBE!$C:$C,$B$22,CUBE!$D:$D,$B28)</f>
        <v>264448</v>
      </c>
      <c r="I28" s="46">
        <f>SUMIFS(CUBE!$E:$E,CUBE!$A:$A,$B$6,CUBE!$B:$B,I$8,CUBE!$C:$C,$B$22,CUBE!$D:$D,$B28)</f>
        <v>168118</v>
      </c>
      <c r="J28" s="46">
        <f>SUMIFS(CUBE!$E:$E,CUBE!$A:$A,$B$6,CUBE!$B:$B,J$8,CUBE!$C:$C,$B$22,CUBE!$D:$D,$B28)</f>
        <v>128158</v>
      </c>
      <c r="K28" s="46">
        <f>SUMIFS(CUBE!$E:$E,CUBE!$A:$A,$B$6,CUBE!$B:$B,K$8,CUBE!$C:$C,$B$22,CUBE!$D:$D,$B28)</f>
        <v>86050</v>
      </c>
      <c r="L28" s="46">
        <f>SUMIFS(CUBE!$E:$E,CUBE!$A:$A,$B$6,CUBE!$B:$B,L$8,CUBE!$C:$C,$B$22,CUBE!$D:$D,$B28)</f>
        <v>87316</v>
      </c>
      <c r="M28" s="46">
        <f>SUMIFS(CUBE!$E:$E,CUBE!$A:$A,$B$6,CUBE!$B:$B,M$8,CUBE!$C:$C,$B$22,CUBE!$D:$D,$B28)</f>
        <v>76363</v>
      </c>
      <c r="N28" s="46">
        <f>SUMIFS(CUBE!$E:$E,CUBE!$A:$A,$B$6,CUBE!$B:$B,N$8,CUBE!$C:$C,$B$22,CUBE!$D:$D,$B28)</f>
        <v>0</v>
      </c>
      <c r="O28" s="46">
        <f>SUMIFS(CUBE!$E:$E,CUBE!$A:$A,$B$6,CUBE!$B:$B,O$8,CUBE!$C:$C,$B$22,CUBE!$D:$D,$B28)</f>
        <v>0</v>
      </c>
      <c r="P28" s="46">
        <f>SUMIFS(CUBE!$E:$E,CUBE!$A:$A,$B$6,CUBE!$B:$B,P$8,CUBE!$C:$C,$B$22,CUBE!$D:$D,$B28)</f>
        <v>0</v>
      </c>
      <c r="Q28" s="46">
        <f>SUMIFS(CUBE!$E:$E,CUBE!$A:$A,$B$6,CUBE!$B:$B,Q$8,CUBE!$C:$C,$B$22,CUBE!$D:$D,$B28)</f>
        <v>0</v>
      </c>
      <c r="R28" s="46">
        <f>SUMIFS(CUBE!$E:$E,CUBE!$A:$A,$B$6,CUBE!$B:$B,R$8,CUBE!$C:$C,$B$22,CUBE!$D:$D,$B28)</f>
        <v>0</v>
      </c>
      <c r="S28" s="14"/>
      <c r="T28" s="47">
        <f t="shared" si="34"/>
        <v>0.1003185939</v>
      </c>
      <c r="U28" s="47">
        <f t="shared" ref="U28:AF28" si="44">IFERROR(G28/G$19,"-")</f>
        <v>0.1134690023</v>
      </c>
      <c r="V28" s="47">
        <f t="shared" si="44"/>
        <v>0.1065350019</v>
      </c>
      <c r="W28" s="47">
        <f t="shared" si="44"/>
        <v>0.1098293613</v>
      </c>
      <c r="X28" s="47">
        <f t="shared" si="44"/>
        <v>0.1133929859</v>
      </c>
      <c r="Y28" s="47">
        <f t="shared" si="44"/>
        <v>0.1127358052</v>
      </c>
      <c r="Z28" s="47">
        <f t="shared" si="44"/>
        <v>0.1011417776</v>
      </c>
      <c r="AA28" s="47">
        <f t="shared" si="44"/>
        <v>0.1012165121</v>
      </c>
      <c r="AB28" s="47" t="str">
        <f t="shared" si="44"/>
        <v>-</v>
      </c>
      <c r="AC28" s="47" t="str">
        <f t="shared" si="44"/>
        <v>-</v>
      </c>
      <c r="AD28" s="47" t="str">
        <f t="shared" si="44"/>
        <v>-</v>
      </c>
      <c r="AE28" s="47" t="str">
        <f t="shared" si="44"/>
        <v>-</v>
      </c>
      <c r="AF28" s="47" t="str">
        <f t="shared" si="44"/>
        <v>-</v>
      </c>
      <c r="AG28" s="14"/>
      <c r="AH28" s="47">
        <f t="shared" si="36"/>
        <v>0.00001111742341</v>
      </c>
      <c r="AI28" s="47">
        <f t="shared" ref="AI28:AT28" si="45">IFERROR(($D28-U28)*ln($D28/U28),"-")</f>
        <v>0.001362465968</v>
      </c>
      <c r="AJ28" s="47">
        <f t="shared" si="45"/>
        <v>0.000255933505</v>
      </c>
      <c r="AK28" s="47">
        <f t="shared" si="45"/>
        <v>0.0006768068441</v>
      </c>
      <c r="AL28" s="47">
        <f t="shared" si="45"/>
        <v>0.001345848236</v>
      </c>
      <c r="AM28" s="47">
        <f t="shared" si="45"/>
        <v>0.001206218062</v>
      </c>
      <c r="AN28" s="47">
        <f t="shared" si="45"/>
        <v>0.0000005484699607</v>
      </c>
      <c r="AO28" s="47">
        <f t="shared" si="45"/>
        <v>0.0000002556690718</v>
      </c>
      <c r="AP28" s="47" t="str">
        <f t="shared" si="45"/>
        <v>-</v>
      </c>
      <c r="AQ28" s="47" t="str">
        <f t="shared" si="45"/>
        <v>-</v>
      </c>
      <c r="AR28" s="47" t="str">
        <f t="shared" si="45"/>
        <v>-</v>
      </c>
      <c r="AS28" s="47" t="str">
        <f t="shared" si="45"/>
        <v>-</v>
      </c>
      <c r="AT28" s="47" t="str">
        <f t="shared" si="45"/>
        <v>-</v>
      </c>
    </row>
    <row r="29">
      <c r="A29" s="14"/>
      <c r="B29" s="43" t="s">
        <v>632</v>
      </c>
      <c r="C29" s="44">
        <f>SUMIFS(CUBE!$E:$E,CUBE!$A:$A,$B$6,CUBE!$B:$B,C$8,CUBE!$C:$C,$B$22,CUBE!$D:$D,$B29)</f>
        <v>5089</v>
      </c>
      <c r="D29" s="45">
        <f t="shared" si="33"/>
        <v>0.09776573877</v>
      </c>
      <c r="E29" s="14"/>
      <c r="F29" s="44">
        <f>SUMIFS(CUBE!$E:$E,CUBE!$A:$A,$B$6,CUBE!$B:$B,F$8,CUBE!$C:$C,$B$22,CUBE!$D:$D,$B29)</f>
        <v>6267</v>
      </c>
      <c r="G29" s="44">
        <f>SUMIFS(CUBE!$E:$E,CUBE!$A:$A,$B$6,CUBE!$B:$B,G$8,CUBE!$C:$C,$B$22,CUBE!$D:$D,$B29)</f>
        <v>128564</v>
      </c>
      <c r="H29" s="44">
        <f>SUMIFS(CUBE!$E:$E,CUBE!$A:$A,$B$6,CUBE!$B:$B,H$8,CUBE!$C:$C,$B$22,CUBE!$D:$D,$B29)</f>
        <v>317389</v>
      </c>
      <c r="I29" s="44">
        <f>SUMIFS(CUBE!$E:$E,CUBE!$A:$A,$B$6,CUBE!$B:$B,I$8,CUBE!$C:$C,$B$22,CUBE!$D:$D,$B29)</f>
        <v>178777</v>
      </c>
      <c r="J29" s="44">
        <f>SUMIFS(CUBE!$E:$E,CUBE!$A:$A,$B$6,CUBE!$B:$B,J$8,CUBE!$C:$C,$B$22,CUBE!$D:$D,$B29)</f>
        <v>127029</v>
      </c>
      <c r="K29" s="44">
        <f>SUMIFS(CUBE!$E:$E,CUBE!$A:$A,$B$6,CUBE!$B:$B,K$8,CUBE!$C:$C,$B$22,CUBE!$D:$D,$B29)</f>
        <v>89225</v>
      </c>
      <c r="L29" s="44">
        <f>SUMIFS(CUBE!$E:$E,CUBE!$A:$A,$B$6,CUBE!$B:$B,L$8,CUBE!$C:$C,$B$22,CUBE!$D:$D,$B29)</f>
        <v>92899</v>
      </c>
      <c r="M29" s="44">
        <f>SUMIFS(CUBE!$E:$E,CUBE!$A:$A,$B$6,CUBE!$B:$B,M$8,CUBE!$C:$C,$B$22,CUBE!$D:$D,$B29)</f>
        <v>85992</v>
      </c>
      <c r="N29" s="44">
        <f>SUMIFS(CUBE!$E:$E,CUBE!$A:$A,$B$6,CUBE!$B:$B,N$8,CUBE!$C:$C,$B$22,CUBE!$D:$D,$B29)</f>
        <v>0</v>
      </c>
      <c r="O29" s="44">
        <f>SUMIFS(CUBE!$E:$E,CUBE!$A:$A,$B$6,CUBE!$B:$B,O$8,CUBE!$C:$C,$B$22,CUBE!$D:$D,$B29)</f>
        <v>0</v>
      </c>
      <c r="P29" s="44">
        <f>SUMIFS(CUBE!$E:$E,CUBE!$A:$A,$B$6,CUBE!$B:$B,P$8,CUBE!$C:$C,$B$22,CUBE!$D:$D,$B29)</f>
        <v>0</v>
      </c>
      <c r="Q29" s="44">
        <f>SUMIFS(CUBE!$E:$E,CUBE!$A:$A,$B$6,CUBE!$B:$B,Q$8,CUBE!$C:$C,$B$22,CUBE!$D:$D,$B29)</f>
        <v>0</v>
      </c>
      <c r="R29" s="44">
        <f>SUMIFS(CUBE!$E:$E,CUBE!$A:$A,$B$6,CUBE!$B:$B,R$8,CUBE!$C:$C,$B$22,CUBE!$D:$D,$B29)</f>
        <v>0</v>
      </c>
      <c r="S29" s="14"/>
      <c r="T29" s="45">
        <f t="shared" si="34"/>
        <v>0.09645545073</v>
      </c>
      <c r="U29" s="45">
        <f t="shared" ref="U29:AF29" si="46">IFERROR(G29/G$19,"-")</f>
        <v>0.1231441784</v>
      </c>
      <c r="V29" s="45">
        <f t="shared" si="46"/>
        <v>0.1278627092</v>
      </c>
      <c r="W29" s="45">
        <f t="shared" si="46"/>
        <v>0.1167927511</v>
      </c>
      <c r="X29" s="45">
        <f t="shared" si="46"/>
        <v>0.1123940574</v>
      </c>
      <c r="Y29" s="45">
        <f t="shared" si="46"/>
        <v>0.1168954354</v>
      </c>
      <c r="Z29" s="45">
        <f t="shared" si="46"/>
        <v>0.1076088002</v>
      </c>
      <c r="AA29" s="45">
        <f t="shared" si="46"/>
        <v>0.1139794182</v>
      </c>
      <c r="AB29" s="45" t="str">
        <f t="shared" si="46"/>
        <v>-</v>
      </c>
      <c r="AC29" s="45" t="str">
        <f t="shared" si="46"/>
        <v>-</v>
      </c>
      <c r="AD29" s="45" t="str">
        <f t="shared" si="46"/>
        <v>-</v>
      </c>
      <c r="AE29" s="45" t="str">
        <f t="shared" si="46"/>
        <v>-</v>
      </c>
      <c r="AF29" s="45" t="str">
        <f t="shared" si="46"/>
        <v>-</v>
      </c>
      <c r="AG29" s="14"/>
      <c r="AH29" s="45">
        <f t="shared" si="36"/>
        <v>0.00001767964455</v>
      </c>
      <c r="AI29" s="45">
        <f t="shared" ref="AI29:AT29" si="47">IFERROR(($D29-U29)*ln($D29/U29),"-")</f>
        <v>0.005856878301</v>
      </c>
      <c r="AJ29" s="45">
        <f t="shared" si="47"/>
        <v>0.008077512437</v>
      </c>
      <c r="AK29" s="45">
        <f t="shared" si="47"/>
        <v>0.003383512909</v>
      </c>
      <c r="AL29" s="45">
        <f t="shared" si="47"/>
        <v>0.002039726957</v>
      </c>
      <c r="AM29" s="45">
        <f t="shared" si="47"/>
        <v>0.003418584385</v>
      </c>
      <c r="AN29" s="45">
        <f t="shared" si="47"/>
        <v>0.0009442274952</v>
      </c>
      <c r="AO29" s="45">
        <f t="shared" si="47"/>
        <v>0.002487886853</v>
      </c>
      <c r="AP29" s="45" t="str">
        <f t="shared" si="47"/>
        <v>-</v>
      </c>
      <c r="AQ29" s="45" t="str">
        <f t="shared" si="47"/>
        <v>-</v>
      </c>
      <c r="AR29" s="45" t="str">
        <f t="shared" si="47"/>
        <v>-</v>
      </c>
      <c r="AS29" s="45" t="str">
        <f t="shared" si="47"/>
        <v>-</v>
      </c>
      <c r="AT29" s="45" t="str">
        <f t="shared" si="47"/>
        <v>-</v>
      </c>
    </row>
    <row r="30">
      <c r="A30" s="14"/>
      <c r="B30" s="43" t="s">
        <v>598</v>
      </c>
      <c r="C30" s="46">
        <f>SUMIFS(CUBE!$E:$E,CUBE!$A:$A,$B$6,CUBE!$B:$B,C$8,CUBE!$C:$C,$B$22,CUBE!$D:$D,$B30)</f>
        <v>5344</v>
      </c>
      <c r="D30" s="47">
        <f t="shared" si="33"/>
        <v>0.1026645919</v>
      </c>
      <c r="E30" s="14"/>
      <c r="F30" s="46">
        <f>SUMIFS(CUBE!$E:$E,CUBE!$A:$A,$B$6,CUBE!$B:$B,F$8,CUBE!$C:$C,$B$22,CUBE!$D:$D,$B30)</f>
        <v>4674</v>
      </c>
      <c r="G30" s="46">
        <f>SUMIFS(CUBE!$E:$E,CUBE!$A:$A,$B$6,CUBE!$B:$B,G$8,CUBE!$C:$C,$B$22,CUBE!$D:$D,$B30)</f>
        <v>85039</v>
      </c>
      <c r="H30" s="46">
        <f>SUMIFS(CUBE!$E:$E,CUBE!$A:$A,$B$6,CUBE!$B:$B,H$8,CUBE!$C:$C,$B$22,CUBE!$D:$D,$B30)</f>
        <v>141020</v>
      </c>
      <c r="I30" s="46">
        <f>SUMIFS(CUBE!$E:$E,CUBE!$A:$A,$B$6,CUBE!$B:$B,I$8,CUBE!$C:$C,$B$22,CUBE!$D:$D,$B30)</f>
        <v>105905</v>
      </c>
      <c r="J30" s="46">
        <f>SUMIFS(CUBE!$E:$E,CUBE!$A:$A,$B$6,CUBE!$B:$B,J$8,CUBE!$C:$C,$B$22,CUBE!$D:$D,$B30)</f>
        <v>93984</v>
      </c>
      <c r="K30" s="46">
        <f>SUMIFS(CUBE!$E:$E,CUBE!$A:$A,$B$6,CUBE!$B:$B,K$8,CUBE!$C:$C,$B$22,CUBE!$D:$D,$B30)</f>
        <v>63312</v>
      </c>
      <c r="L30" s="46">
        <f>SUMIFS(CUBE!$E:$E,CUBE!$A:$A,$B$6,CUBE!$B:$B,L$8,CUBE!$C:$C,$B$22,CUBE!$D:$D,$B30)</f>
        <v>62213</v>
      </c>
      <c r="M30" s="46">
        <f>SUMIFS(CUBE!$E:$E,CUBE!$A:$A,$B$6,CUBE!$B:$B,M$8,CUBE!$C:$C,$B$22,CUBE!$D:$D,$B30)</f>
        <v>49500</v>
      </c>
      <c r="N30" s="46">
        <f>SUMIFS(CUBE!$E:$E,CUBE!$A:$A,$B$6,CUBE!$B:$B,N$8,CUBE!$C:$C,$B$22,CUBE!$D:$D,$B30)</f>
        <v>0</v>
      </c>
      <c r="O30" s="46">
        <f>SUMIFS(CUBE!$E:$E,CUBE!$A:$A,$B$6,CUBE!$B:$B,O$8,CUBE!$C:$C,$B$22,CUBE!$D:$D,$B30)</f>
        <v>0</v>
      </c>
      <c r="P30" s="46">
        <f>SUMIFS(CUBE!$E:$E,CUBE!$A:$A,$B$6,CUBE!$B:$B,P$8,CUBE!$C:$C,$B$22,CUBE!$D:$D,$B30)</f>
        <v>0</v>
      </c>
      <c r="Q30" s="46">
        <f>SUMIFS(CUBE!$E:$E,CUBE!$A:$A,$B$6,CUBE!$B:$B,Q$8,CUBE!$C:$C,$B$22,CUBE!$D:$D,$B30)</f>
        <v>0</v>
      </c>
      <c r="R30" s="46">
        <f>SUMIFS(CUBE!$E:$E,CUBE!$A:$A,$B$6,CUBE!$B:$B,R$8,CUBE!$C:$C,$B$22,CUBE!$D:$D,$B30)</f>
        <v>0</v>
      </c>
      <c r="S30" s="14"/>
      <c r="T30" s="47">
        <f t="shared" si="34"/>
        <v>0.07193757407</v>
      </c>
      <c r="U30" s="47">
        <f t="shared" ref="U30:AF30" si="48">IFERROR(G30/G$19,"-")</f>
        <v>0.08145404459</v>
      </c>
      <c r="V30" s="47">
        <f t="shared" si="48"/>
        <v>0.05681104024</v>
      </c>
      <c r="W30" s="47">
        <f t="shared" si="48"/>
        <v>0.06918639594</v>
      </c>
      <c r="X30" s="47">
        <f t="shared" si="48"/>
        <v>0.08315615403</v>
      </c>
      <c r="Y30" s="47">
        <f t="shared" si="48"/>
        <v>0.08294630212</v>
      </c>
      <c r="Z30" s="47">
        <f t="shared" si="48"/>
        <v>0.07206392194</v>
      </c>
      <c r="AA30" s="47">
        <f t="shared" si="48"/>
        <v>0.06561053586</v>
      </c>
      <c r="AB30" s="47" t="str">
        <f t="shared" si="48"/>
        <v>-</v>
      </c>
      <c r="AC30" s="47" t="str">
        <f t="shared" si="48"/>
        <v>-</v>
      </c>
      <c r="AD30" s="47" t="str">
        <f t="shared" si="48"/>
        <v>-</v>
      </c>
      <c r="AE30" s="47" t="str">
        <f t="shared" si="48"/>
        <v>-</v>
      </c>
      <c r="AF30" s="47" t="str">
        <f t="shared" si="48"/>
        <v>-</v>
      </c>
      <c r="AG30" s="14"/>
      <c r="AH30" s="47">
        <f t="shared" si="36"/>
        <v>0.01092863444</v>
      </c>
      <c r="AI30" s="47">
        <f t="shared" ref="AI30:AT30" si="49">IFERROR(($D30-U30)*ln($D30/U30),"-")</f>
        <v>0.004908720765</v>
      </c>
      <c r="AJ30" s="47">
        <f t="shared" si="49"/>
        <v>0.02713322508</v>
      </c>
      <c r="AK30" s="47">
        <f t="shared" si="49"/>
        <v>0.01321260631</v>
      </c>
      <c r="AL30" s="47">
        <f t="shared" si="49"/>
        <v>0.00411134613</v>
      </c>
      <c r="AM30" s="47">
        <f t="shared" si="49"/>
        <v>0.004205395546</v>
      </c>
      <c r="AN30" s="47">
        <f t="shared" si="49"/>
        <v>0.010829998</v>
      </c>
      <c r="AO30" s="47">
        <f t="shared" si="49"/>
        <v>0.01659024933</v>
      </c>
      <c r="AP30" s="47" t="str">
        <f t="shared" si="49"/>
        <v>-</v>
      </c>
      <c r="AQ30" s="47" t="str">
        <f t="shared" si="49"/>
        <v>-</v>
      </c>
      <c r="AR30" s="47" t="str">
        <f t="shared" si="49"/>
        <v>-</v>
      </c>
      <c r="AS30" s="47" t="str">
        <f t="shared" si="49"/>
        <v>-</v>
      </c>
      <c r="AT30" s="47" t="str">
        <f t="shared" si="49"/>
        <v>-</v>
      </c>
    </row>
    <row r="31">
      <c r="A31" s="14"/>
      <c r="B31" s="43" t="s">
        <v>623</v>
      </c>
      <c r="C31" s="44">
        <f>SUMIFS(CUBE!$E:$E,CUBE!$A:$A,$B$6,CUBE!$B:$B,C$8,CUBE!$C:$C,$B$22,CUBE!$D:$D,$B31)</f>
        <v>5175</v>
      </c>
      <c r="D31" s="45">
        <f t="shared" si="33"/>
        <v>0.09941790099</v>
      </c>
      <c r="E31" s="14"/>
      <c r="F31" s="44">
        <f>SUMIFS(CUBE!$E:$E,CUBE!$A:$A,$B$6,CUBE!$B:$B,F$8,CUBE!$C:$C,$B$22,CUBE!$D:$D,$B31)</f>
        <v>4894</v>
      </c>
      <c r="G31" s="44">
        <f>SUMIFS(CUBE!$E:$E,CUBE!$A:$A,$B$6,CUBE!$B:$B,G$8,CUBE!$C:$C,$B$22,CUBE!$D:$D,$B31)</f>
        <v>90405</v>
      </c>
      <c r="H31" s="44">
        <f>SUMIFS(CUBE!$E:$E,CUBE!$A:$A,$B$6,CUBE!$B:$B,H$8,CUBE!$C:$C,$B$22,CUBE!$D:$D,$B31)</f>
        <v>170235</v>
      </c>
      <c r="I31" s="44">
        <f>SUMIFS(CUBE!$E:$E,CUBE!$A:$A,$B$6,CUBE!$B:$B,I$8,CUBE!$C:$C,$B$22,CUBE!$D:$D,$B31)</f>
        <v>119429</v>
      </c>
      <c r="J31" s="44">
        <f>SUMIFS(CUBE!$E:$E,CUBE!$A:$A,$B$6,CUBE!$B:$B,J$8,CUBE!$C:$C,$B$22,CUBE!$D:$D,$B31)</f>
        <v>98067</v>
      </c>
      <c r="K31" s="44">
        <f>SUMIFS(CUBE!$E:$E,CUBE!$A:$A,$B$6,CUBE!$B:$B,K$8,CUBE!$C:$C,$B$22,CUBE!$D:$D,$B31)</f>
        <v>65486</v>
      </c>
      <c r="L31" s="44">
        <f>SUMIFS(CUBE!$E:$E,CUBE!$A:$A,$B$6,CUBE!$B:$B,L$8,CUBE!$C:$C,$B$22,CUBE!$D:$D,$B31)</f>
        <v>65394</v>
      </c>
      <c r="M31" s="44">
        <f>SUMIFS(CUBE!$E:$E,CUBE!$A:$A,$B$6,CUBE!$B:$B,M$8,CUBE!$C:$C,$B$22,CUBE!$D:$D,$B31)</f>
        <v>52973</v>
      </c>
      <c r="N31" s="44">
        <f>SUMIFS(CUBE!$E:$E,CUBE!$A:$A,$B$6,CUBE!$B:$B,N$8,CUBE!$C:$C,$B$22,CUBE!$D:$D,$B31)</f>
        <v>0</v>
      </c>
      <c r="O31" s="44">
        <f>SUMIFS(CUBE!$E:$E,CUBE!$A:$A,$B$6,CUBE!$B:$B,O$8,CUBE!$C:$C,$B$22,CUBE!$D:$D,$B31)</f>
        <v>0</v>
      </c>
      <c r="P31" s="44">
        <f>SUMIFS(CUBE!$E:$E,CUBE!$A:$A,$B$6,CUBE!$B:$B,P$8,CUBE!$C:$C,$B$22,CUBE!$D:$D,$B31)</f>
        <v>0</v>
      </c>
      <c r="Q31" s="44">
        <f>SUMIFS(CUBE!$E:$E,CUBE!$A:$A,$B$6,CUBE!$B:$B,Q$8,CUBE!$C:$C,$B$22,CUBE!$D:$D,$B31)</f>
        <v>0</v>
      </c>
      <c r="R31" s="44">
        <f>SUMIFS(CUBE!$E:$E,CUBE!$A:$A,$B$6,CUBE!$B:$B,R$8,CUBE!$C:$C,$B$22,CUBE!$D:$D,$B31)</f>
        <v>0</v>
      </c>
      <c r="S31" s="14"/>
      <c r="T31" s="45">
        <f t="shared" si="34"/>
        <v>0.07532359596</v>
      </c>
      <c r="U31" s="45">
        <f t="shared" ref="U31:AF31" si="50">IFERROR(G31/G$19,"-")</f>
        <v>0.08659383225</v>
      </c>
      <c r="V31" s="45">
        <f t="shared" si="50"/>
        <v>0.06858053777</v>
      </c>
      <c r="W31" s="45">
        <f t="shared" si="50"/>
        <v>0.07802145396</v>
      </c>
      <c r="X31" s="45">
        <f t="shared" si="50"/>
        <v>0.0867687538</v>
      </c>
      <c r="Y31" s="45">
        <f t="shared" si="50"/>
        <v>0.08579450248</v>
      </c>
      <c r="Z31" s="45">
        <f t="shared" si="50"/>
        <v>0.07574860738</v>
      </c>
      <c r="AA31" s="45">
        <f t="shared" si="50"/>
        <v>0.07021387709</v>
      </c>
      <c r="AB31" s="45" t="str">
        <f t="shared" si="50"/>
        <v>-</v>
      </c>
      <c r="AC31" s="45" t="str">
        <f t="shared" si="50"/>
        <v>-</v>
      </c>
      <c r="AD31" s="45" t="str">
        <f t="shared" si="50"/>
        <v>-</v>
      </c>
      <c r="AE31" s="45" t="str">
        <f t="shared" si="50"/>
        <v>-</v>
      </c>
      <c r="AF31" s="45" t="str">
        <f t="shared" si="50"/>
        <v>-</v>
      </c>
      <c r="AG31" s="14"/>
      <c r="AH31" s="45">
        <f t="shared" si="36"/>
        <v>0.006687103127</v>
      </c>
      <c r="AI31" s="45">
        <f t="shared" ref="AI31:AT31" si="51">IFERROR(($D31-U31)*ln($D31/U31),"-")</f>
        <v>0.001771050006</v>
      </c>
      <c r="AJ31" s="45">
        <f t="shared" si="51"/>
        <v>0.01145063454</v>
      </c>
      <c r="AK31" s="45">
        <f t="shared" si="51"/>
        <v>0.005185393596</v>
      </c>
      <c r="AL31" s="45">
        <f t="shared" si="51"/>
        <v>0.001721366914</v>
      </c>
      <c r="AM31" s="45">
        <f t="shared" si="51"/>
        <v>0.002007779105</v>
      </c>
      <c r="AN31" s="45">
        <f t="shared" si="51"/>
        <v>0.006435967992</v>
      </c>
      <c r="AO31" s="45">
        <f t="shared" si="51"/>
        <v>0.01015675699</v>
      </c>
      <c r="AP31" s="45" t="str">
        <f t="shared" si="51"/>
        <v>-</v>
      </c>
      <c r="AQ31" s="45" t="str">
        <f t="shared" si="51"/>
        <v>-</v>
      </c>
      <c r="AR31" s="45" t="str">
        <f t="shared" si="51"/>
        <v>-</v>
      </c>
      <c r="AS31" s="45" t="str">
        <f t="shared" si="51"/>
        <v>-</v>
      </c>
      <c r="AT31" s="45" t="str">
        <f t="shared" si="51"/>
        <v>-</v>
      </c>
    </row>
    <row r="32">
      <c r="A32" s="14"/>
      <c r="B32" s="43" t="s">
        <v>600</v>
      </c>
      <c r="C32" s="46">
        <f>SUMIFS(CUBE!$E:$E,CUBE!$A:$A,$B$6,CUBE!$B:$B,C$8,CUBE!$C:$C,$B$22,CUBE!$D:$D,$B32)</f>
        <v>5008</v>
      </c>
      <c r="D32" s="47">
        <f t="shared" si="33"/>
        <v>0.09620963249</v>
      </c>
      <c r="E32" s="14"/>
      <c r="F32" s="46">
        <f>SUMIFS(CUBE!$E:$E,CUBE!$A:$A,$B$6,CUBE!$B:$B,F$8,CUBE!$C:$C,$B$22,CUBE!$D:$D,$B32)</f>
        <v>4483</v>
      </c>
      <c r="G32" s="46">
        <f>SUMIFS(CUBE!$E:$E,CUBE!$A:$A,$B$6,CUBE!$B:$B,G$8,CUBE!$C:$C,$B$22,CUBE!$D:$D,$B32)</f>
        <v>71083</v>
      </c>
      <c r="H32" s="46">
        <f>SUMIFS(CUBE!$E:$E,CUBE!$A:$A,$B$6,CUBE!$B:$B,H$8,CUBE!$C:$C,$B$22,CUBE!$D:$D,$B32)</f>
        <v>95105</v>
      </c>
      <c r="I32" s="46">
        <f>SUMIFS(CUBE!$E:$E,CUBE!$A:$A,$B$6,CUBE!$B:$B,I$8,CUBE!$C:$C,$B$22,CUBE!$D:$D,$B32)</f>
        <v>85642</v>
      </c>
      <c r="J32" s="46">
        <f>SUMIFS(CUBE!$E:$E,CUBE!$A:$A,$B$6,CUBE!$B:$B,J$8,CUBE!$C:$C,$B$22,CUBE!$D:$D,$B32)</f>
        <v>89874</v>
      </c>
      <c r="K32" s="46">
        <f>SUMIFS(CUBE!$E:$E,CUBE!$A:$A,$B$6,CUBE!$B:$B,K$8,CUBE!$C:$C,$B$22,CUBE!$D:$D,$B32)</f>
        <v>59790</v>
      </c>
      <c r="L32" s="46">
        <f>SUMIFS(CUBE!$E:$E,CUBE!$A:$A,$B$6,CUBE!$B:$B,L$8,CUBE!$C:$C,$B$22,CUBE!$D:$D,$B32)</f>
        <v>60401</v>
      </c>
      <c r="M32" s="46">
        <f>SUMIFS(CUBE!$E:$E,CUBE!$A:$A,$B$6,CUBE!$B:$B,M$8,CUBE!$C:$C,$B$22,CUBE!$D:$D,$B32)</f>
        <v>45474</v>
      </c>
      <c r="N32" s="46">
        <f>SUMIFS(CUBE!$E:$E,CUBE!$A:$A,$B$6,CUBE!$B:$B,N$8,CUBE!$C:$C,$B$22,CUBE!$D:$D,$B32)</f>
        <v>0</v>
      </c>
      <c r="O32" s="46">
        <f>SUMIFS(CUBE!$E:$E,CUBE!$A:$A,$B$6,CUBE!$B:$B,O$8,CUBE!$C:$C,$B$22,CUBE!$D:$D,$B32)</f>
        <v>0</v>
      </c>
      <c r="P32" s="46">
        <f>SUMIFS(CUBE!$E:$E,CUBE!$A:$A,$B$6,CUBE!$B:$B,P$8,CUBE!$C:$C,$B$22,CUBE!$D:$D,$B32)</f>
        <v>0</v>
      </c>
      <c r="Q32" s="46">
        <f>SUMIFS(CUBE!$E:$E,CUBE!$A:$A,$B$6,CUBE!$B:$B,Q$8,CUBE!$C:$C,$B$22,CUBE!$D:$D,$B32)</f>
        <v>0</v>
      </c>
      <c r="R32" s="46">
        <f>SUMIFS(CUBE!$E:$E,CUBE!$A:$A,$B$6,CUBE!$B:$B,R$8,CUBE!$C:$C,$B$22,CUBE!$D:$D,$B32)</f>
        <v>0</v>
      </c>
      <c r="S32" s="14"/>
      <c r="T32" s="47">
        <f t="shared" si="34"/>
        <v>0.06899789143</v>
      </c>
      <c r="U32" s="47">
        <f t="shared" ref="U32:AF32" si="52">IFERROR(G32/G$19,"-")</f>
        <v>0.06808638215</v>
      </c>
      <c r="V32" s="47">
        <f t="shared" si="52"/>
        <v>0.03831381352</v>
      </c>
      <c r="W32" s="47">
        <f t="shared" si="52"/>
        <v>0.05594883454</v>
      </c>
      <c r="X32" s="47">
        <f t="shared" si="52"/>
        <v>0.07951966491</v>
      </c>
      <c r="Y32" s="47">
        <f t="shared" si="52"/>
        <v>0.07833206033</v>
      </c>
      <c r="Z32" s="47">
        <f t="shared" si="52"/>
        <v>0.06996500649</v>
      </c>
      <c r="AA32" s="47">
        <f t="shared" si="52"/>
        <v>0.06027421228</v>
      </c>
      <c r="AB32" s="47" t="str">
        <f t="shared" si="52"/>
        <v>-</v>
      </c>
      <c r="AC32" s="47" t="str">
        <f t="shared" si="52"/>
        <v>-</v>
      </c>
      <c r="AD32" s="47" t="str">
        <f t="shared" si="52"/>
        <v>-</v>
      </c>
      <c r="AE32" s="47" t="str">
        <f t="shared" si="52"/>
        <v>-</v>
      </c>
      <c r="AF32" s="47" t="str">
        <f t="shared" si="52"/>
        <v>-</v>
      </c>
      <c r="AG32" s="14"/>
      <c r="AH32" s="47">
        <f t="shared" si="36"/>
        <v>0.009046639571</v>
      </c>
      <c r="AI32" s="47">
        <f t="shared" ref="AI32:AT32" si="53">IFERROR(($D32-U32)*ln($D32/U32),"-")</f>
        <v>0.009723677302</v>
      </c>
      <c r="AJ32" s="47">
        <f t="shared" si="53"/>
        <v>0.05330577968</v>
      </c>
      <c r="AK32" s="47">
        <f t="shared" si="53"/>
        <v>0.02182505159</v>
      </c>
      <c r="AL32" s="47">
        <f t="shared" si="53"/>
        <v>0.00317985831</v>
      </c>
      <c r="AM32" s="47">
        <f t="shared" si="53"/>
        <v>0.003675137349</v>
      </c>
      <c r="AN32" s="47">
        <f t="shared" si="53"/>
        <v>0.008359812854</v>
      </c>
      <c r="AO32" s="47">
        <f t="shared" si="53"/>
        <v>0.01680430545</v>
      </c>
      <c r="AP32" s="47" t="str">
        <f t="shared" si="53"/>
        <v>-</v>
      </c>
      <c r="AQ32" s="47" t="str">
        <f t="shared" si="53"/>
        <v>-</v>
      </c>
      <c r="AR32" s="47" t="str">
        <f t="shared" si="53"/>
        <v>-</v>
      </c>
      <c r="AS32" s="47" t="str">
        <f t="shared" si="53"/>
        <v>-</v>
      </c>
      <c r="AT32" s="47" t="str">
        <f t="shared" si="53"/>
        <v>-</v>
      </c>
    </row>
    <row r="33">
      <c r="A33" s="14"/>
      <c r="B33" s="48" t="s">
        <v>657</v>
      </c>
      <c r="C33" s="49">
        <f>SUM(C23:C32)</f>
        <v>52053</v>
      </c>
      <c r="D33" s="50">
        <f t="shared" si="33"/>
        <v>1</v>
      </c>
      <c r="E33" s="14"/>
      <c r="F33" s="49">
        <f t="shared" ref="F33:R33" si="54">SUM(F23:F32)</f>
        <v>64973</v>
      </c>
      <c r="G33" s="49">
        <f t="shared" si="54"/>
        <v>1044012</v>
      </c>
      <c r="H33" s="49">
        <f t="shared" si="54"/>
        <v>2482264</v>
      </c>
      <c r="I33" s="49">
        <f t="shared" si="54"/>
        <v>1530720</v>
      </c>
      <c r="J33" s="49">
        <f t="shared" si="54"/>
        <v>1130211</v>
      </c>
      <c r="K33" s="49">
        <f t="shared" si="54"/>
        <v>763289</v>
      </c>
      <c r="L33" s="49">
        <f t="shared" si="54"/>
        <v>863303</v>
      </c>
      <c r="M33" s="49">
        <f t="shared" si="54"/>
        <v>754452</v>
      </c>
      <c r="N33" s="49">
        <f t="shared" si="54"/>
        <v>0</v>
      </c>
      <c r="O33" s="49">
        <f t="shared" si="54"/>
        <v>0</v>
      </c>
      <c r="P33" s="49">
        <f t="shared" si="54"/>
        <v>0</v>
      </c>
      <c r="Q33" s="49">
        <f t="shared" si="54"/>
        <v>0</v>
      </c>
      <c r="R33" s="49">
        <f t="shared" si="54"/>
        <v>0</v>
      </c>
      <c r="S33" s="14"/>
      <c r="T33" s="50">
        <f t="shared" si="34"/>
        <v>1</v>
      </c>
      <c r="U33" s="50">
        <f t="shared" ref="U33:AF33" si="55">IFERROR(G33/G$19,"-")</f>
        <v>1</v>
      </c>
      <c r="V33" s="50">
        <f t="shared" si="55"/>
        <v>1</v>
      </c>
      <c r="W33" s="50">
        <f t="shared" si="55"/>
        <v>1</v>
      </c>
      <c r="X33" s="50">
        <f t="shared" si="55"/>
        <v>1</v>
      </c>
      <c r="Y33" s="50">
        <f t="shared" si="55"/>
        <v>1</v>
      </c>
      <c r="Z33" s="50">
        <f t="shared" si="55"/>
        <v>1</v>
      </c>
      <c r="AA33" s="50">
        <f t="shared" si="55"/>
        <v>1</v>
      </c>
      <c r="AB33" s="50" t="str">
        <f t="shared" si="55"/>
        <v>-</v>
      </c>
      <c r="AC33" s="50" t="str">
        <f t="shared" si="55"/>
        <v>-</v>
      </c>
      <c r="AD33" s="50" t="str">
        <f t="shared" si="55"/>
        <v>-</v>
      </c>
      <c r="AE33" s="50" t="str">
        <f t="shared" si="55"/>
        <v>-</v>
      </c>
      <c r="AF33" s="50" t="str">
        <f t="shared" si="55"/>
        <v>-</v>
      </c>
      <c r="AG33" s="14"/>
      <c r="AH33" s="34">
        <f t="shared" ref="AH33:AT33" si="56">SUM(AH23:AH32)</f>
        <v>0.04135923667</v>
      </c>
      <c r="AI33" s="34">
        <f t="shared" si="56"/>
        <v>0.02951413542</v>
      </c>
      <c r="AJ33" s="34">
        <f t="shared" si="56"/>
        <v>0.1190992786</v>
      </c>
      <c r="AK33" s="34">
        <f t="shared" si="56"/>
        <v>0.05432451809</v>
      </c>
      <c r="AL33" s="34">
        <f t="shared" si="56"/>
        <v>0.01584569106</v>
      </c>
      <c r="AM33" s="34">
        <f t="shared" si="56"/>
        <v>0.02044781469</v>
      </c>
      <c r="AN33" s="34">
        <f t="shared" si="56"/>
        <v>0.03869015188</v>
      </c>
      <c r="AO33" s="34">
        <f t="shared" si="56"/>
        <v>0.06259269584</v>
      </c>
      <c r="AP33" s="34">
        <f t="shared" si="56"/>
        <v>0</v>
      </c>
      <c r="AQ33" s="34">
        <f t="shared" si="56"/>
        <v>0</v>
      </c>
      <c r="AR33" s="34">
        <f t="shared" si="56"/>
        <v>0</v>
      </c>
      <c r="AS33" s="34">
        <f t="shared" si="56"/>
        <v>0</v>
      </c>
      <c r="AT33" s="34">
        <f t="shared" si="56"/>
        <v>0</v>
      </c>
    </row>
    <row r="34" ht="15.75" customHeight="1">
      <c r="A34" s="14"/>
      <c r="B34" s="14"/>
      <c r="C34" s="14"/>
      <c r="D34" s="14"/>
      <c r="E34" s="14"/>
      <c r="F34" s="14" t="b">
        <f t="shared" ref="F34:R34" si="57">F33=F$19</f>
        <v>1</v>
      </c>
      <c r="G34" s="14" t="b">
        <f t="shared" si="57"/>
        <v>1</v>
      </c>
      <c r="H34" s="14" t="b">
        <f t="shared" si="57"/>
        <v>1</v>
      </c>
      <c r="I34" s="14" t="b">
        <f t="shared" si="57"/>
        <v>1</v>
      </c>
      <c r="J34" s="14" t="b">
        <f t="shared" si="57"/>
        <v>1</v>
      </c>
      <c r="K34" s="14" t="b">
        <f t="shared" si="57"/>
        <v>1</v>
      </c>
      <c r="L34" s="14" t="b">
        <f t="shared" si="57"/>
        <v>1</v>
      </c>
      <c r="M34" s="14" t="b">
        <f t="shared" si="57"/>
        <v>1</v>
      </c>
      <c r="N34" s="14" t="b">
        <f t="shared" si="57"/>
        <v>1</v>
      </c>
      <c r="O34" s="14" t="b">
        <f t="shared" si="57"/>
        <v>1</v>
      </c>
      <c r="P34" s="14" t="b">
        <f t="shared" si="57"/>
        <v>1</v>
      </c>
      <c r="Q34" s="14" t="b">
        <f t="shared" si="57"/>
        <v>1</v>
      </c>
      <c r="R34" s="14" t="b">
        <f t="shared" si="57"/>
        <v>1</v>
      </c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>
      <c r="A35" s="14"/>
      <c r="B35" s="14"/>
      <c r="C35" s="14"/>
      <c r="D35" s="14"/>
      <c r="E35" s="14"/>
      <c r="F35" s="40" t="s">
        <v>655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2"/>
      <c r="S35" s="14"/>
      <c r="T35" s="40" t="s">
        <v>656</v>
      </c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2"/>
      <c r="AG35" s="14"/>
      <c r="AH35" s="40" t="s">
        <v>657</v>
      </c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2"/>
    </row>
    <row r="36">
      <c r="A36" s="14"/>
      <c r="B36" s="41" t="s">
        <v>608</v>
      </c>
      <c r="C36" s="15" t="s">
        <v>596</v>
      </c>
      <c r="D36" s="15" t="s">
        <v>596</v>
      </c>
      <c r="E36" s="14"/>
      <c r="F36" s="15" t="s">
        <v>601</v>
      </c>
      <c r="G36" s="42" t="s">
        <v>643</v>
      </c>
      <c r="H36" s="15" t="s">
        <v>644</v>
      </c>
      <c r="I36" s="15" t="s">
        <v>630</v>
      </c>
      <c r="J36" s="15" t="s">
        <v>629</v>
      </c>
      <c r="K36" s="15" t="s">
        <v>645</v>
      </c>
      <c r="L36" s="15" t="s">
        <v>628</v>
      </c>
      <c r="M36" s="15" t="s">
        <v>646</v>
      </c>
      <c r="N36" s="15" t="s">
        <v>658</v>
      </c>
      <c r="O36" s="15" t="s">
        <v>659</v>
      </c>
      <c r="P36" s="15" t="s">
        <v>660</v>
      </c>
      <c r="Q36" s="15" t="s">
        <v>661</v>
      </c>
      <c r="R36" s="15" t="s">
        <v>662</v>
      </c>
      <c r="S36" s="14"/>
      <c r="T36" s="15" t="s">
        <v>601</v>
      </c>
      <c r="U36" s="15" t="str">
        <f t="shared" ref="U36:AF36" si="58">G36</f>
        <v>2021-01</v>
      </c>
      <c r="V36" s="15" t="str">
        <f t="shared" si="58"/>
        <v>2021-02</v>
      </c>
      <c r="W36" s="15" t="str">
        <f t="shared" si="58"/>
        <v>2021-03</v>
      </c>
      <c r="X36" s="15" t="str">
        <f t="shared" si="58"/>
        <v>2021-04</v>
      </c>
      <c r="Y36" s="15" t="str">
        <f t="shared" si="58"/>
        <v>2021-05</v>
      </c>
      <c r="Z36" s="15" t="str">
        <f t="shared" si="58"/>
        <v>2021-06</v>
      </c>
      <c r="AA36" s="15" t="str">
        <f t="shared" si="58"/>
        <v>2021-07</v>
      </c>
      <c r="AB36" s="15" t="str">
        <f t="shared" si="58"/>
        <v>2021-08</v>
      </c>
      <c r="AC36" s="15" t="str">
        <f t="shared" si="58"/>
        <v>2021-09</v>
      </c>
      <c r="AD36" s="15" t="str">
        <f t="shared" si="58"/>
        <v>2021-10</v>
      </c>
      <c r="AE36" s="15" t="str">
        <f t="shared" si="58"/>
        <v>2021-11</v>
      </c>
      <c r="AF36" s="15" t="str">
        <f t="shared" si="58"/>
        <v>2021-12</v>
      </c>
      <c r="AG36" s="14"/>
      <c r="AH36" s="15" t="s">
        <v>601</v>
      </c>
      <c r="AI36" s="15" t="str">
        <f t="shared" ref="AI36:AT36" si="59">U36</f>
        <v>2021-01</v>
      </c>
      <c r="AJ36" s="15" t="str">
        <f t="shared" si="59"/>
        <v>2021-02</v>
      </c>
      <c r="AK36" s="15" t="str">
        <f t="shared" si="59"/>
        <v>2021-03</v>
      </c>
      <c r="AL36" s="15" t="str">
        <f t="shared" si="59"/>
        <v>2021-04</v>
      </c>
      <c r="AM36" s="15" t="str">
        <f t="shared" si="59"/>
        <v>2021-05</v>
      </c>
      <c r="AN36" s="15" t="str">
        <f t="shared" si="59"/>
        <v>2021-06</v>
      </c>
      <c r="AO36" s="15" t="str">
        <f t="shared" si="59"/>
        <v>2021-07</v>
      </c>
      <c r="AP36" s="15" t="str">
        <f t="shared" si="59"/>
        <v>2021-08</v>
      </c>
      <c r="AQ36" s="15" t="str">
        <f t="shared" si="59"/>
        <v>2021-09</v>
      </c>
      <c r="AR36" s="15" t="str">
        <f t="shared" si="59"/>
        <v>2021-10</v>
      </c>
      <c r="AS36" s="15" t="str">
        <f t="shared" si="59"/>
        <v>2021-11</v>
      </c>
      <c r="AT36" s="15" t="str">
        <f t="shared" si="59"/>
        <v>2021-12</v>
      </c>
    </row>
    <row r="37">
      <c r="A37" s="14"/>
      <c r="B37" s="43" t="s">
        <v>626</v>
      </c>
      <c r="C37" s="44">
        <f>SUMIFS(CUBE!$E:$E,CUBE!$A:$A,$B$6,CUBE!$B:$B,C$8,CUBE!$C:$C,$B$36,CUBE!$D:$D,$B37)</f>
        <v>5787</v>
      </c>
      <c r="D37" s="45">
        <f t="shared" ref="D37:D44" si="62">C37/C$19</f>
        <v>0.1111751484</v>
      </c>
      <c r="E37" s="14"/>
      <c r="F37" s="44">
        <f>SUMIFS(CUBE!$E:$E,CUBE!$A:$A,$B$6,CUBE!$B:$B,F$8,CUBE!$C:$C,$B$36,CUBE!$D:$D,$B37)</f>
        <v>3872</v>
      </c>
      <c r="G37" s="44">
        <f>SUMIFS(CUBE!$E:$E,CUBE!$A:$A,$B$6,CUBE!$B:$B,G$8,CUBE!$C:$C,$B$36,CUBE!$D:$D,$B37)</f>
        <v>125345</v>
      </c>
      <c r="H37" s="44">
        <f>SUMIFS(CUBE!$E:$E,CUBE!$A:$A,$B$6,CUBE!$B:$B,H$8,CUBE!$C:$C,$B$36,CUBE!$D:$D,$B37)</f>
        <v>414545</v>
      </c>
      <c r="I37" s="44">
        <f>SUMIFS(CUBE!$E:$E,CUBE!$A:$A,$B$6,CUBE!$B:$B,I$8,CUBE!$C:$C,$B$36,CUBE!$D:$D,$B37)</f>
        <v>164516</v>
      </c>
      <c r="J37" s="44">
        <f>SUMIFS(CUBE!$E:$E,CUBE!$A:$A,$B$6,CUBE!$B:$B,J$8,CUBE!$C:$C,$B$36,CUBE!$D:$D,$B37)</f>
        <v>93737</v>
      </c>
      <c r="K37" s="44">
        <f>SUMIFS(CUBE!$E:$E,CUBE!$A:$A,$B$6,CUBE!$B:$B,K$8,CUBE!$C:$C,$B$36,CUBE!$D:$D,$B37)</f>
        <v>64913</v>
      </c>
      <c r="L37" s="44">
        <f>SUMIFS(CUBE!$E:$E,CUBE!$A:$A,$B$6,CUBE!$B:$B,L$8,CUBE!$C:$C,$B$36,CUBE!$D:$D,$B37)</f>
        <v>68804</v>
      </c>
      <c r="M37" s="44">
        <f>SUMIFS(CUBE!$E:$E,CUBE!$A:$A,$B$6,CUBE!$B:$B,M$8,CUBE!$C:$C,$B$36,CUBE!$D:$D,$B37)</f>
        <v>64021</v>
      </c>
      <c r="N37" s="44">
        <f>SUMIFS(CUBE!$E:$E,CUBE!$A:$A,$B$6,CUBE!$B:$B,N$8,CUBE!$C:$C,$B$36,CUBE!$D:$D,$B37)</f>
        <v>0</v>
      </c>
      <c r="O37" s="44">
        <f>SUMIFS(CUBE!$E:$E,CUBE!$A:$A,$B$6,CUBE!$B:$B,O$8,CUBE!$C:$C,$B$36,CUBE!$D:$D,$B37)</f>
        <v>0</v>
      </c>
      <c r="P37" s="44">
        <f>SUMIFS(CUBE!$E:$E,CUBE!$A:$A,$B$6,CUBE!$B:$B,P$8,CUBE!$C:$C,$B$36,CUBE!$D:$D,$B37)</f>
        <v>0</v>
      </c>
      <c r="Q37" s="44">
        <f>SUMIFS(CUBE!$E:$E,CUBE!$A:$A,$B$6,CUBE!$B:$B,Q$8,CUBE!$C:$C,$B$36,CUBE!$D:$D,$B37)</f>
        <v>0</v>
      </c>
      <c r="R37" s="44">
        <f>SUMIFS(CUBE!$E:$E,CUBE!$A:$A,$B$6,CUBE!$B:$B,R$8,CUBE!$C:$C,$B$36,CUBE!$D:$D,$B37)</f>
        <v>0</v>
      </c>
      <c r="S37" s="14"/>
      <c r="T37" s="45">
        <f t="shared" ref="T37:T44" si="63">F37/F$19</f>
        <v>0.05959398519</v>
      </c>
      <c r="U37" s="45">
        <f t="shared" ref="U37:AF37" si="60">IFERROR(G37/G$19,"-")</f>
        <v>0.1200608805</v>
      </c>
      <c r="V37" s="45">
        <f t="shared" si="60"/>
        <v>0.1670027846</v>
      </c>
      <c r="W37" s="45">
        <f t="shared" si="60"/>
        <v>0.1074762203</v>
      </c>
      <c r="X37" s="45">
        <f t="shared" si="60"/>
        <v>0.08293761076</v>
      </c>
      <c r="Y37" s="45">
        <f t="shared" si="60"/>
        <v>0.08504380385</v>
      </c>
      <c r="Z37" s="45">
        <f t="shared" si="60"/>
        <v>0.07969855312</v>
      </c>
      <c r="AA37" s="45">
        <f t="shared" si="60"/>
        <v>0.08485761851</v>
      </c>
      <c r="AB37" s="45" t="str">
        <f t="shared" si="60"/>
        <v>-</v>
      </c>
      <c r="AC37" s="45" t="str">
        <f t="shared" si="60"/>
        <v>-</v>
      </c>
      <c r="AD37" s="45" t="str">
        <f t="shared" si="60"/>
        <v>-</v>
      </c>
      <c r="AE37" s="45" t="str">
        <f t="shared" si="60"/>
        <v>-</v>
      </c>
      <c r="AF37" s="45" t="str">
        <f t="shared" si="60"/>
        <v>-</v>
      </c>
      <c r="AG37" s="14"/>
      <c r="AH37" s="45">
        <f t="shared" ref="AH37:AH43" si="65">($D37-T37)*ln($D37/T37)</f>
        <v>0.03216354893</v>
      </c>
      <c r="AI37" s="45">
        <f t="shared" ref="AI37:AT37" si="61">IFERROR(($D37-U37)*ln($D37/U37),"-")</f>
        <v>0.00068324243</v>
      </c>
      <c r="AJ37" s="45">
        <f t="shared" si="61"/>
        <v>0.02271646696</v>
      </c>
      <c r="AK37" s="45">
        <f t="shared" si="61"/>
        <v>0.0001251615697</v>
      </c>
      <c r="AL37" s="45">
        <f t="shared" si="61"/>
        <v>0.008274113121</v>
      </c>
      <c r="AM37" s="45">
        <f t="shared" si="61"/>
        <v>0.007001643123</v>
      </c>
      <c r="AN37" s="45">
        <f t="shared" si="61"/>
        <v>0.01047715597</v>
      </c>
      <c r="AO37" s="45">
        <f t="shared" si="61"/>
        <v>0.007109209504</v>
      </c>
      <c r="AP37" s="45" t="str">
        <f t="shared" si="61"/>
        <v>-</v>
      </c>
      <c r="AQ37" s="45" t="str">
        <f t="shared" si="61"/>
        <v>-</v>
      </c>
      <c r="AR37" s="45" t="str">
        <f t="shared" si="61"/>
        <v>-</v>
      </c>
      <c r="AS37" s="45" t="str">
        <f t="shared" si="61"/>
        <v>-</v>
      </c>
      <c r="AT37" s="45" t="str">
        <f t="shared" si="61"/>
        <v>-</v>
      </c>
    </row>
    <row r="38">
      <c r="A38" s="14"/>
      <c r="B38" s="43" t="s">
        <v>624</v>
      </c>
      <c r="C38" s="46">
        <f>SUMIFS(CUBE!$E:$E,CUBE!$A:$A,$B$6,CUBE!$B:$B,C$8,CUBE!$C:$C,$B$36,CUBE!$D:$D,$B38)</f>
        <v>11415</v>
      </c>
      <c r="D38" s="47">
        <f t="shared" si="62"/>
        <v>0.2192957178</v>
      </c>
      <c r="E38" s="14"/>
      <c r="F38" s="46">
        <f>SUMIFS(CUBE!$E:$E,CUBE!$A:$A,$B$6,CUBE!$B:$B,F$8,CUBE!$C:$C,$B$36,CUBE!$D:$D,$B38)</f>
        <v>7744</v>
      </c>
      <c r="G38" s="46">
        <f>SUMIFS(CUBE!$E:$E,CUBE!$A:$A,$B$6,CUBE!$B:$B,G$8,CUBE!$C:$C,$B$36,CUBE!$D:$D,$B38)</f>
        <v>210763</v>
      </c>
      <c r="H38" s="46">
        <f>SUMIFS(CUBE!$E:$E,CUBE!$A:$A,$B$6,CUBE!$B:$B,H$8,CUBE!$C:$C,$B$36,CUBE!$D:$D,$B38)</f>
        <v>590610</v>
      </c>
      <c r="I38" s="46">
        <f>SUMIFS(CUBE!$E:$E,CUBE!$A:$A,$B$6,CUBE!$B:$B,I$8,CUBE!$C:$C,$B$36,CUBE!$D:$D,$B38)</f>
        <v>296560</v>
      </c>
      <c r="J38" s="46">
        <f>SUMIFS(CUBE!$E:$E,CUBE!$A:$A,$B$6,CUBE!$B:$B,J$8,CUBE!$C:$C,$B$36,CUBE!$D:$D,$B38)</f>
        <v>173187</v>
      </c>
      <c r="K38" s="46">
        <f>SUMIFS(CUBE!$E:$E,CUBE!$A:$A,$B$6,CUBE!$B:$B,K$8,CUBE!$C:$C,$B$36,CUBE!$D:$D,$B38)</f>
        <v>122347</v>
      </c>
      <c r="L38" s="46">
        <f>SUMIFS(CUBE!$E:$E,CUBE!$A:$A,$B$6,CUBE!$B:$B,L$8,CUBE!$C:$C,$B$36,CUBE!$D:$D,$B38)</f>
        <v>133819</v>
      </c>
      <c r="M38" s="46">
        <f>SUMIFS(CUBE!$E:$E,CUBE!$A:$A,$B$6,CUBE!$B:$B,M$8,CUBE!$C:$C,$B$36,CUBE!$D:$D,$B38)</f>
        <v>127317</v>
      </c>
      <c r="N38" s="46">
        <f>SUMIFS(CUBE!$E:$E,CUBE!$A:$A,$B$6,CUBE!$B:$B,N$8,CUBE!$C:$C,$B$36,CUBE!$D:$D,$B38)</f>
        <v>0</v>
      </c>
      <c r="O38" s="46">
        <f>SUMIFS(CUBE!$E:$E,CUBE!$A:$A,$B$6,CUBE!$B:$B,O$8,CUBE!$C:$C,$B$36,CUBE!$D:$D,$B38)</f>
        <v>0</v>
      </c>
      <c r="P38" s="46">
        <f>SUMIFS(CUBE!$E:$E,CUBE!$A:$A,$B$6,CUBE!$B:$B,P$8,CUBE!$C:$C,$B$36,CUBE!$D:$D,$B38)</f>
        <v>0</v>
      </c>
      <c r="Q38" s="46">
        <f>SUMIFS(CUBE!$E:$E,CUBE!$A:$A,$B$6,CUBE!$B:$B,Q$8,CUBE!$C:$C,$B$36,CUBE!$D:$D,$B38)</f>
        <v>0</v>
      </c>
      <c r="R38" s="46">
        <f>SUMIFS(CUBE!$E:$E,CUBE!$A:$A,$B$6,CUBE!$B:$B,R$8,CUBE!$C:$C,$B$36,CUBE!$D:$D,$B38)</f>
        <v>0</v>
      </c>
      <c r="S38" s="14"/>
      <c r="T38" s="47">
        <f t="shared" si="63"/>
        <v>0.1191879704</v>
      </c>
      <c r="U38" s="47">
        <f t="shared" ref="U38:AF38" si="64">IFERROR(G38/G$19,"-")</f>
        <v>0.2018779478</v>
      </c>
      <c r="V38" s="47">
        <f t="shared" si="64"/>
        <v>0.2379319847</v>
      </c>
      <c r="W38" s="47">
        <f t="shared" si="64"/>
        <v>0.1937388941</v>
      </c>
      <c r="X38" s="47">
        <f t="shared" si="64"/>
        <v>0.1532342191</v>
      </c>
      <c r="Y38" s="47">
        <f t="shared" si="64"/>
        <v>0.160289222</v>
      </c>
      <c r="Z38" s="47">
        <f t="shared" si="64"/>
        <v>0.1550081489</v>
      </c>
      <c r="AA38" s="47">
        <f t="shared" si="64"/>
        <v>0.1687542746</v>
      </c>
      <c r="AB38" s="47" t="str">
        <f t="shared" si="64"/>
        <v>-</v>
      </c>
      <c r="AC38" s="47" t="str">
        <f t="shared" si="64"/>
        <v>-</v>
      </c>
      <c r="AD38" s="47" t="str">
        <f t="shared" si="64"/>
        <v>-</v>
      </c>
      <c r="AE38" s="47" t="str">
        <f t="shared" si="64"/>
        <v>-</v>
      </c>
      <c r="AF38" s="47" t="str">
        <f t="shared" si="64"/>
        <v>-</v>
      </c>
      <c r="AG38" s="14"/>
      <c r="AH38" s="47">
        <f t="shared" si="65"/>
        <v>0.06103762556</v>
      </c>
      <c r="AI38" s="47">
        <f t="shared" ref="AI38:AT38" si="66">IFERROR(($D38-U38)*ln($D38/U38),"-")</f>
        <v>0.001441456904</v>
      </c>
      <c r="AJ38" s="47">
        <f t="shared" si="66"/>
        <v>0.001520043353</v>
      </c>
      <c r="AK38" s="47">
        <f t="shared" si="66"/>
        <v>0.003166740475</v>
      </c>
      <c r="AL38" s="47">
        <f t="shared" si="66"/>
        <v>0.02367997768</v>
      </c>
      <c r="AM38" s="47">
        <f t="shared" si="66"/>
        <v>0.01849507319</v>
      </c>
      <c r="AN38" s="47">
        <f t="shared" si="66"/>
        <v>0.02230415026</v>
      </c>
      <c r="AO38" s="47">
        <f t="shared" si="66"/>
        <v>0.01324071933</v>
      </c>
      <c r="AP38" s="47" t="str">
        <f t="shared" si="66"/>
        <v>-</v>
      </c>
      <c r="AQ38" s="47" t="str">
        <f t="shared" si="66"/>
        <v>-</v>
      </c>
      <c r="AR38" s="47" t="str">
        <f t="shared" si="66"/>
        <v>-</v>
      </c>
      <c r="AS38" s="47" t="str">
        <f t="shared" si="66"/>
        <v>-</v>
      </c>
      <c r="AT38" s="47" t="str">
        <f t="shared" si="66"/>
        <v>-</v>
      </c>
    </row>
    <row r="39">
      <c r="A39" s="14"/>
      <c r="B39" s="43" t="s">
        <v>609</v>
      </c>
      <c r="C39" s="44">
        <f>SUMIFS(CUBE!$E:$E,CUBE!$A:$A,$B$6,CUBE!$B:$B,C$8,CUBE!$C:$C,$B$36,CUBE!$D:$D,$B39)</f>
        <v>9302</v>
      </c>
      <c r="D39" s="45">
        <f t="shared" si="62"/>
        <v>0.1787024763</v>
      </c>
      <c r="E39" s="14"/>
      <c r="F39" s="44">
        <f>SUMIFS(CUBE!$E:$E,CUBE!$A:$A,$B$6,CUBE!$B:$B,F$8,CUBE!$C:$C,$B$36,CUBE!$D:$D,$B39)</f>
        <v>9601</v>
      </c>
      <c r="G39" s="44">
        <f>SUMIFS(CUBE!$E:$E,CUBE!$A:$A,$B$6,CUBE!$B:$B,G$8,CUBE!$C:$C,$B$36,CUBE!$D:$D,$B39)</f>
        <v>128002</v>
      </c>
      <c r="H39" s="44">
        <f>SUMIFS(CUBE!$E:$E,CUBE!$A:$A,$B$6,CUBE!$B:$B,H$8,CUBE!$C:$C,$B$36,CUBE!$D:$D,$B39)</f>
        <v>307826</v>
      </c>
      <c r="I39" s="44">
        <f>SUMIFS(CUBE!$E:$E,CUBE!$A:$A,$B$6,CUBE!$B:$B,I$8,CUBE!$C:$C,$B$36,CUBE!$D:$D,$B39)</f>
        <v>206473</v>
      </c>
      <c r="J39" s="44">
        <f>SUMIFS(CUBE!$E:$E,CUBE!$A:$A,$B$6,CUBE!$B:$B,J$8,CUBE!$C:$C,$B$36,CUBE!$D:$D,$B39)</f>
        <v>143355</v>
      </c>
      <c r="K39" s="44">
        <f>SUMIFS(CUBE!$E:$E,CUBE!$A:$A,$B$6,CUBE!$B:$B,K$8,CUBE!$C:$C,$B$36,CUBE!$D:$D,$B39)</f>
        <v>103663</v>
      </c>
      <c r="L39" s="44">
        <f>SUMIFS(CUBE!$E:$E,CUBE!$A:$A,$B$6,CUBE!$B:$B,L$8,CUBE!$C:$C,$B$36,CUBE!$D:$D,$B39)</f>
        <v>120306</v>
      </c>
      <c r="M39" s="44">
        <f>SUMIFS(CUBE!$E:$E,CUBE!$A:$A,$B$6,CUBE!$B:$B,M$8,CUBE!$C:$C,$B$36,CUBE!$D:$D,$B39)</f>
        <v>112696</v>
      </c>
      <c r="N39" s="44">
        <f>SUMIFS(CUBE!$E:$E,CUBE!$A:$A,$B$6,CUBE!$B:$B,N$8,CUBE!$C:$C,$B$36,CUBE!$D:$D,$B39)</f>
        <v>0</v>
      </c>
      <c r="O39" s="44">
        <f>SUMIFS(CUBE!$E:$E,CUBE!$A:$A,$B$6,CUBE!$B:$B,O$8,CUBE!$C:$C,$B$36,CUBE!$D:$D,$B39)</f>
        <v>0</v>
      </c>
      <c r="P39" s="44">
        <f>SUMIFS(CUBE!$E:$E,CUBE!$A:$A,$B$6,CUBE!$B:$B,P$8,CUBE!$C:$C,$B$36,CUBE!$D:$D,$B39)</f>
        <v>0</v>
      </c>
      <c r="Q39" s="44">
        <f>SUMIFS(CUBE!$E:$E,CUBE!$A:$A,$B$6,CUBE!$B:$B,Q$8,CUBE!$C:$C,$B$36,CUBE!$D:$D,$B39)</f>
        <v>0</v>
      </c>
      <c r="R39" s="44">
        <f>SUMIFS(CUBE!$E:$E,CUBE!$A:$A,$B$6,CUBE!$B:$B,R$8,CUBE!$C:$C,$B$36,CUBE!$D:$D,$B39)</f>
        <v>0</v>
      </c>
      <c r="S39" s="14"/>
      <c r="T39" s="45">
        <f t="shared" si="63"/>
        <v>0.1477690733</v>
      </c>
      <c r="U39" s="45">
        <f t="shared" ref="U39:AF39" si="67">IFERROR(G39/G$19,"-")</f>
        <v>0.1226058704</v>
      </c>
      <c r="V39" s="45">
        <f t="shared" si="67"/>
        <v>0.1240101778</v>
      </c>
      <c r="W39" s="45">
        <f t="shared" si="67"/>
        <v>0.1348861973</v>
      </c>
      <c r="X39" s="45">
        <f t="shared" si="67"/>
        <v>0.1268391477</v>
      </c>
      <c r="Y39" s="45">
        <f t="shared" si="67"/>
        <v>0.1358109445</v>
      </c>
      <c r="Z39" s="45">
        <f t="shared" si="67"/>
        <v>0.1393554754</v>
      </c>
      <c r="AA39" s="45">
        <f t="shared" si="67"/>
        <v>0.1493746454</v>
      </c>
      <c r="AB39" s="45" t="str">
        <f t="shared" si="67"/>
        <v>-</v>
      </c>
      <c r="AC39" s="45" t="str">
        <f t="shared" si="67"/>
        <v>-</v>
      </c>
      <c r="AD39" s="45" t="str">
        <f t="shared" si="67"/>
        <v>-</v>
      </c>
      <c r="AE39" s="45" t="str">
        <f t="shared" si="67"/>
        <v>-</v>
      </c>
      <c r="AF39" s="45" t="str">
        <f t="shared" si="67"/>
        <v>-</v>
      </c>
      <c r="AG39" s="14"/>
      <c r="AH39" s="45">
        <f t="shared" si="65"/>
        <v>0.005879559542</v>
      </c>
      <c r="AI39" s="45">
        <f t="shared" ref="AI39:AT39" si="68">IFERROR(($D39-U39)*ln($D39/U39),"-")</f>
        <v>0.02113424898</v>
      </c>
      <c r="AJ39" s="45">
        <f t="shared" si="68"/>
        <v>0.01998230371</v>
      </c>
      <c r="AK39" s="45">
        <f t="shared" si="68"/>
        <v>0.01232511788</v>
      </c>
      <c r="AL39" s="45">
        <f t="shared" si="68"/>
        <v>0.01777888124</v>
      </c>
      <c r="AM39" s="45">
        <f t="shared" si="68"/>
        <v>0.01177194442</v>
      </c>
      <c r="AN39" s="45">
        <f t="shared" si="68"/>
        <v>0.009785372238</v>
      </c>
      <c r="AO39" s="45">
        <f t="shared" si="68"/>
        <v>0.005257445698</v>
      </c>
      <c r="AP39" s="45" t="str">
        <f t="shared" si="68"/>
        <v>-</v>
      </c>
      <c r="AQ39" s="45" t="str">
        <f t="shared" si="68"/>
        <v>-</v>
      </c>
      <c r="AR39" s="45" t="str">
        <f t="shared" si="68"/>
        <v>-</v>
      </c>
      <c r="AS39" s="45" t="str">
        <f t="shared" si="68"/>
        <v>-</v>
      </c>
      <c r="AT39" s="45" t="str">
        <f t="shared" si="68"/>
        <v>-</v>
      </c>
    </row>
    <row r="40">
      <c r="A40" s="14"/>
      <c r="B40" s="43" t="s">
        <v>610</v>
      </c>
      <c r="C40" s="46">
        <f>SUMIFS(CUBE!$E:$E,CUBE!$A:$A,$B$6,CUBE!$B:$B,C$8,CUBE!$C:$C,$B$36,CUBE!$D:$D,$B40)</f>
        <v>7863</v>
      </c>
      <c r="D40" s="47">
        <f t="shared" si="62"/>
        <v>0.1510575759</v>
      </c>
      <c r="E40" s="14"/>
      <c r="F40" s="46">
        <f>SUMIFS(CUBE!$E:$E,CUBE!$A:$A,$B$6,CUBE!$B:$B,F$8,CUBE!$C:$C,$B$36,CUBE!$D:$D,$B40)</f>
        <v>12089</v>
      </c>
      <c r="G40" s="46">
        <f>SUMIFS(CUBE!$E:$E,CUBE!$A:$A,$B$6,CUBE!$B:$B,G$8,CUBE!$C:$C,$B$36,CUBE!$D:$D,$B40)</f>
        <v>104383</v>
      </c>
      <c r="H40" s="46">
        <f>SUMIFS(CUBE!$E:$E,CUBE!$A:$A,$B$6,CUBE!$B:$B,H$8,CUBE!$C:$C,$B$36,CUBE!$D:$D,$B40)</f>
        <v>220526</v>
      </c>
      <c r="I40" s="46">
        <f>SUMIFS(CUBE!$E:$E,CUBE!$A:$A,$B$6,CUBE!$B:$B,I$8,CUBE!$C:$C,$B$36,CUBE!$D:$D,$B40)</f>
        <v>169642</v>
      </c>
      <c r="J40" s="46">
        <f>SUMIFS(CUBE!$E:$E,CUBE!$A:$A,$B$6,CUBE!$B:$B,J$8,CUBE!$C:$C,$B$36,CUBE!$D:$D,$B40)</f>
        <v>137811</v>
      </c>
      <c r="K40" s="46">
        <f>SUMIFS(CUBE!$E:$E,CUBE!$A:$A,$B$6,CUBE!$B:$B,K$8,CUBE!$C:$C,$B$36,CUBE!$D:$D,$B40)</f>
        <v>97665</v>
      </c>
      <c r="L40" s="46">
        <f>SUMIFS(CUBE!$E:$E,CUBE!$A:$A,$B$6,CUBE!$B:$B,L$8,CUBE!$C:$C,$B$36,CUBE!$D:$D,$B40)</f>
        <v>115674</v>
      </c>
      <c r="M40" s="46">
        <f>SUMIFS(CUBE!$E:$E,CUBE!$A:$A,$B$6,CUBE!$B:$B,M$8,CUBE!$C:$C,$B$36,CUBE!$D:$D,$B40)</f>
        <v>104044</v>
      </c>
      <c r="N40" s="46">
        <f>SUMIFS(CUBE!$E:$E,CUBE!$A:$A,$B$6,CUBE!$B:$B,N$8,CUBE!$C:$C,$B$36,CUBE!$D:$D,$B40)</f>
        <v>0</v>
      </c>
      <c r="O40" s="46">
        <f>SUMIFS(CUBE!$E:$E,CUBE!$A:$A,$B$6,CUBE!$B:$B,O$8,CUBE!$C:$C,$B$36,CUBE!$D:$D,$B40)</f>
        <v>0</v>
      </c>
      <c r="P40" s="46">
        <f>SUMIFS(CUBE!$E:$E,CUBE!$A:$A,$B$6,CUBE!$B:$B,P$8,CUBE!$C:$C,$B$36,CUBE!$D:$D,$B40)</f>
        <v>0</v>
      </c>
      <c r="Q40" s="46">
        <f>SUMIFS(CUBE!$E:$E,CUBE!$A:$A,$B$6,CUBE!$B:$B,Q$8,CUBE!$C:$C,$B$36,CUBE!$D:$D,$B40)</f>
        <v>0</v>
      </c>
      <c r="R40" s="46">
        <f>SUMIFS(CUBE!$E:$E,CUBE!$A:$A,$B$6,CUBE!$B:$B,R$8,CUBE!$C:$C,$B$36,CUBE!$D:$D,$B40)</f>
        <v>0</v>
      </c>
      <c r="S40" s="14"/>
      <c r="T40" s="47">
        <f t="shared" si="63"/>
        <v>0.1860619026</v>
      </c>
      <c r="U40" s="47">
        <f t="shared" ref="U40:AF40" si="69">IFERROR(G40/G$19,"-")</f>
        <v>0.09998256725</v>
      </c>
      <c r="V40" s="47">
        <f t="shared" si="69"/>
        <v>0.08884067126</v>
      </c>
      <c r="W40" s="47">
        <f t="shared" si="69"/>
        <v>0.1108249713</v>
      </c>
      <c r="X40" s="47">
        <f t="shared" si="69"/>
        <v>0.121933869</v>
      </c>
      <c r="Y40" s="47">
        <f t="shared" si="69"/>
        <v>0.1279528462</v>
      </c>
      <c r="Z40" s="47">
        <f t="shared" si="69"/>
        <v>0.1339900359</v>
      </c>
      <c r="AA40" s="47">
        <f t="shared" si="69"/>
        <v>0.137906719</v>
      </c>
      <c r="AB40" s="47" t="str">
        <f t="shared" si="69"/>
        <v>-</v>
      </c>
      <c r="AC40" s="47" t="str">
        <f t="shared" si="69"/>
        <v>-</v>
      </c>
      <c r="AD40" s="47" t="str">
        <f t="shared" si="69"/>
        <v>-</v>
      </c>
      <c r="AE40" s="47" t="str">
        <f t="shared" si="69"/>
        <v>-</v>
      </c>
      <c r="AF40" s="47" t="str">
        <f t="shared" si="69"/>
        <v>-</v>
      </c>
      <c r="AG40" s="14"/>
      <c r="AH40" s="47">
        <f t="shared" si="65"/>
        <v>0.007295544593</v>
      </c>
      <c r="AI40" s="47">
        <f t="shared" ref="AI40:AT40" si="70">IFERROR(($D40-U40)*ln($D40/U40),"-")</f>
        <v>0.02107687961</v>
      </c>
      <c r="AJ40" s="47">
        <f t="shared" si="70"/>
        <v>0.03302576001</v>
      </c>
      <c r="AK40" s="47">
        <f t="shared" si="70"/>
        <v>0.01246039737</v>
      </c>
      <c r="AL40" s="47">
        <f t="shared" si="70"/>
        <v>0.00623778025</v>
      </c>
      <c r="AM40" s="47">
        <f t="shared" si="70"/>
        <v>0.003835367927</v>
      </c>
      <c r="AN40" s="47">
        <f t="shared" si="70"/>
        <v>0.002046323343</v>
      </c>
      <c r="AO40" s="47">
        <f t="shared" si="70"/>
        <v>0.001197826783</v>
      </c>
      <c r="AP40" s="47" t="str">
        <f t="shared" si="70"/>
        <v>-</v>
      </c>
      <c r="AQ40" s="47" t="str">
        <f t="shared" si="70"/>
        <v>-</v>
      </c>
      <c r="AR40" s="47" t="str">
        <f t="shared" si="70"/>
        <v>-</v>
      </c>
      <c r="AS40" s="47" t="str">
        <f t="shared" si="70"/>
        <v>-</v>
      </c>
      <c r="AT40" s="47" t="str">
        <f t="shared" si="70"/>
        <v>-</v>
      </c>
    </row>
    <row r="41">
      <c r="A41" s="14"/>
      <c r="B41" s="43" t="s">
        <v>635</v>
      </c>
      <c r="C41" s="44">
        <f>SUMIFS(CUBE!$E:$E,CUBE!$A:$A,$B$6,CUBE!$B:$B,C$8,CUBE!$C:$C,$B$36,CUBE!$D:$D,$B41)</f>
        <v>5993</v>
      </c>
      <c r="D41" s="45">
        <f t="shared" si="62"/>
        <v>0.1151326533</v>
      </c>
      <c r="E41" s="14"/>
      <c r="F41" s="44">
        <f>SUMIFS(CUBE!$E:$E,CUBE!$A:$A,$B$6,CUBE!$B:$B,F$8,CUBE!$C:$C,$B$36,CUBE!$D:$D,$B41)</f>
        <v>11719</v>
      </c>
      <c r="G41" s="44">
        <f>SUMIFS(CUBE!$E:$E,CUBE!$A:$A,$B$6,CUBE!$B:$B,G$8,CUBE!$C:$C,$B$36,CUBE!$D:$D,$B41)</f>
        <v>101552</v>
      </c>
      <c r="H41" s="44">
        <f>SUMIFS(CUBE!$E:$E,CUBE!$A:$A,$B$6,CUBE!$B:$B,H$8,CUBE!$C:$C,$B$36,CUBE!$D:$D,$B41)</f>
        <v>218816</v>
      </c>
      <c r="I41" s="44">
        <f>SUMIFS(CUBE!$E:$E,CUBE!$A:$A,$B$6,CUBE!$B:$B,I$8,CUBE!$C:$C,$B$36,CUBE!$D:$D,$B41)</f>
        <v>159288</v>
      </c>
      <c r="J41" s="44">
        <f>SUMIFS(CUBE!$E:$E,CUBE!$A:$A,$B$6,CUBE!$B:$B,J$8,CUBE!$C:$C,$B$36,CUBE!$D:$D,$B41)</f>
        <v>138067</v>
      </c>
      <c r="K41" s="44">
        <f>SUMIFS(CUBE!$E:$E,CUBE!$A:$A,$B$6,CUBE!$B:$B,K$8,CUBE!$C:$C,$B$36,CUBE!$D:$D,$B41)</f>
        <v>94435</v>
      </c>
      <c r="L41" s="44">
        <f>SUMIFS(CUBE!$E:$E,CUBE!$A:$A,$B$6,CUBE!$B:$B,L$8,CUBE!$C:$C,$B$36,CUBE!$D:$D,$B41)</f>
        <v>111959</v>
      </c>
      <c r="M41" s="44">
        <f>SUMIFS(CUBE!$E:$E,CUBE!$A:$A,$B$6,CUBE!$B:$B,M$8,CUBE!$C:$C,$B$36,CUBE!$D:$D,$B41)</f>
        <v>95975</v>
      </c>
      <c r="N41" s="44">
        <f>SUMIFS(CUBE!$E:$E,CUBE!$A:$A,$B$6,CUBE!$B:$B,N$8,CUBE!$C:$C,$B$36,CUBE!$D:$D,$B41)</f>
        <v>0</v>
      </c>
      <c r="O41" s="44">
        <f>SUMIFS(CUBE!$E:$E,CUBE!$A:$A,$B$6,CUBE!$B:$B,O$8,CUBE!$C:$C,$B$36,CUBE!$D:$D,$B41)</f>
        <v>0</v>
      </c>
      <c r="P41" s="44">
        <f>SUMIFS(CUBE!$E:$E,CUBE!$A:$A,$B$6,CUBE!$B:$B,P$8,CUBE!$C:$C,$B$36,CUBE!$D:$D,$B41)</f>
        <v>0</v>
      </c>
      <c r="Q41" s="44">
        <f>SUMIFS(CUBE!$E:$E,CUBE!$A:$A,$B$6,CUBE!$B:$B,Q$8,CUBE!$C:$C,$B$36,CUBE!$D:$D,$B41)</f>
        <v>0</v>
      </c>
      <c r="R41" s="44">
        <f>SUMIFS(CUBE!$E:$E,CUBE!$A:$A,$B$6,CUBE!$B:$B,R$8,CUBE!$C:$C,$B$36,CUBE!$D:$D,$B41)</f>
        <v>0</v>
      </c>
      <c r="S41" s="14"/>
      <c r="T41" s="45">
        <f t="shared" si="63"/>
        <v>0.1803672295</v>
      </c>
      <c r="U41" s="45">
        <f t="shared" ref="U41:AF41" si="71">IFERROR(G41/G$19,"-")</f>
        <v>0.09727091259</v>
      </c>
      <c r="V41" s="45">
        <f t="shared" si="71"/>
        <v>0.08815178402</v>
      </c>
      <c r="W41" s="45">
        <f t="shared" si="71"/>
        <v>0.1040608341</v>
      </c>
      <c r="X41" s="45">
        <f t="shared" si="71"/>
        <v>0.1221603754</v>
      </c>
      <c r="Y41" s="45">
        <f t="shared" si="71"/>
        <v>0.1237211594</v>
      </c>
      <c r="Z41" s="45">
        <f t="shared" si="71"/>
        <v>0.1296867959</v>
      </c>
      <c r="AA41" s="45">
        <f t="shared" si="71"/>
        <v>0.127211539</v>
      </c>
      <c r="AB41" s="45" t="str">
        <f t="shared" si="71"/>
        <v>-</v>
      </c>
      <c r="AC41" s="45" t="str">
        <f t="shared" si="71"/>
        <v>-</v>
      </c>
      <c r="AD41" s="45" t="str">
        <f t="shared" si="71"/>
        <v>-</v>
      </c>
      <c r="AE41" s="45" t="str">
        <f t="shared" si="71"/>
        <v>-</v>
      </c>
      <c r="AF41" s="45" t="str">
        <f t="shared" si="71"/>
        <v>-</v>
      </c>
      <c r="AG41" s="14"/>
      <c r="AH41" s="45">
        <f t="shared" si="65"/>
        <v>0.02928445139</v>
      </c>
      <c r="AI41" s="45">
        <f t="shared" ref="AI41:AT41" si="72">IFERROR(($D41-U41)*ln($D41/U41),"-")</f>
        <v>0.003011221036</v>
      </c>
      <c r="AJ41" s="45">
        <f t="shared" si="72"/>
        <v>0.007204561836</v>
      </c>
      <c r="AK41" s="45">
        <f t="shared" si="72"/>
        <v>0.001119463868</v>
      </c>
      <c r="AL41" s="45">
        <f t="shared" si="72"/>
        <v>0.0004163908724</v>
      </c>
      <c r="AM41" s="45">
        <f t="shared" si="72"/>
        <v>0.0006179030629</v>
      </c>
      <c r="AN41" s="45">
        <f t="shared" si="72"/>
        <v>0.001732486015</v>
      </c>
      <c r="AO41" s="45">
        <f t="shared" si="72"/>
        <v>0.001205066845</v>
      </c>
      <c r="AP41" s="45" t="str">
        <f t="shared" si="72"/>
        <v>-</v>
      </c>
      <c r="AQ41" s="45" t="str">
        <f t="shared" si="72"/>
        <v>-</v>
      </c>
      <c r="AR41" s="45" t="str">
        <f t="shared" si="72"/>
        <v>-</v>
      </c>
      <c r="AS41" s="45" t="str">
        <f t="shared" si="72"/>
        <v>-</v>
      </c>
      <c r="AT41" s="45" t="str">
        <f t="shared" si="72"/>
        <v>-</v>
      </c>
    </row>
    <row r="42">
      <c r="A42" s="14"/>
      <c r="B42" s="43" t="s">
        <v>636</v>
      </c>
      <c r="C42" s="46">
        <f>SUMIFS(CUBE!$E:$E,CUBE!$A:$A,$B$6,CUBE!$B:$B,C$8,CUBE!$C:$C,$B$36,CUBE!$D:$D,$B42)</f>
        <v>6784</v>
      </c>
      <c r="D42" s="47">
        <f t="shared" si="62"/>
        <v>0.1303287034</v>
      </c>
      <c r="E42" s="14"/>
      <c r="F42" s="46">
        <f>SUMIFS(CUBE!$E:$E,CUBE!$A:$A,$B$6,CUBE!$B:$B,F$8,CUBE!$C:$C,$B$36,CUBE!$D:$D,$B42)</f>
        <v>13616</v>
      </c>
      <c r="G42" s="46">
        <f>SUMIFS(CUBE!$E:$E,CUBE!$A:$A,$B$6,CUBE!$B:$B,G$8,CUBE!$C:$C,$B$36,CUBE!$D:$D,$B42)</f>
        <v>175594</v>
      </c>
      <c r="H42" s="46">
        <f>SUMIFS(CUBE!$E:$E,CUBE!$A:$A,$B$6,CUBE!$B:$B,H$8,CUBE!$C:$C,$B$36,CUBE!$D:$D,$B42)</f>
        <v>380373</v>
      </c>
      <c r="I42" s="46">
        <f>SUMIFS(CUBE!$E:$E,CUBE!$A:$A,$B$6,CUBE!$B:$B,I$8,CUBE!$C:$C,$B$36,CUBE!$D:$D,$B42)</f>
        <v>264364</v>
      </c>
      <c r="J42" s="46">
        <f>SUMIFS(CUBE!$E:$E,CUBE!$A:$A,$B$6,CUBE!$B:$B,J$8,CUBE!$C:$C,$B$36,CUBE!$D:$D,$B42)</f>
        <v>214573</v>
      </c>
      <c r="K42" s="46">
        <f>SUMIFS(CUBE!$E:$E,CUBE!$A:$A,$B$6,CUBE!$B:$B,K$8,CUBE!$C:$C,$B$36,CUBE!$D:$D,$B42)</f>
        <v>140891</v>
      </c>
      <c r="L42" s="46">
        <f>SUMIFS(CUBE!$E:$E,CUBE!$A:$A,$B$6,CUBE!$B:$B,L$8,CUBE!$C:$C,$B$36,CUBE!$D:$D,$B42)</f>
        <v>157649</v>
      </c>
      <c r="M42" s="46">
        <f>SUMIFS(CUBE!$E:$E,CUBE!$A:$A,$B$6,CUBE!$B:$B,M$8,CUBE!$C:$C,$B$36,CUBE!$D:$D,$B42)</f>
        <v>131608</v>
      </c>
      <c r="N42" s="46">
        <f>SUMIFS(CUBE!$E:$E,CUBE!$A:$A,$B$6,CUBE!$B:$B,N$8,CUBE!$C:$C,$B$36,CUBE!$D:$D,$B42)</f>
        <v>0</v>
      </c>
      <c r="O42" s="46">
        <f>SUMIFS(CUBE!$E:$E,CUBE!$A:$A,$B$6,CUBE!$B:$B,O$8,CUBE!$C:$C,$B$36,CUBE!$D:$D,$B42)</f>
        <v>0</v>
      </c>
      <c r="P42" s="46">
        <f>SUMIFS(CUBE!$E:$E,CUBE!$A:$A,$B$6,CUBE!$B:$B,P$8,CUBE!$C:$C,$B$36,CUBE!$D:$D,$B42)</f>
        <v>0</v>
      </c>
      <c r="Q42" s="46">
        <f>SUMIFS(CUBE!$E:$E,CUBE!$A:$A,$B$6,CUBE!$B:$B,Q$8,CUBE!$C:$C,$B$36,CUBE!$D:$D,$B42)</f>
        <v>0</v>
      </c>
      <c r="R42" s="46">
        <f>SUMIFS(CUBE!$E:$E,CUBE!$A:$A,$B$6,CUBE!$B:$B,R$8,CUBE!$C:$C,$B$36,CUBE!$D:$D,$B42)</f>
        <v>0</v>
      </c>
      <c r="S42" s="14"/>
      <c r="T42" s="47">
        <f t="shared" si="63"/>
        <v>0.2095639727</v>
      </c>
      <c r="U42" s="47">
        <f t="shared" ref="U42:AF42" si="73">IFERROR(G42/G$19,"-")</f>
        <v>0.1681915534</v>
      </c>
      <c r="V42" s="47">
        <f t="shared" si="73"/>
        <v>0.1532363197</v>
      </c>
      <c r="W42" s="47">
        <f t="shared" si="73"/>
        <v>0.1727056549</v>
      </c>
      <c r="X42" s="47">
        <f t="shared" si="73"/>
        <v>0.1898521603</v>
      </c>
      <c r="Y42" s="47">
        <f t="shared" si="73"/>
        <v>0.1845840828</v>
      </c>
      <c r="Z42" s="47">
        <f t="shared" si="73"/>
        <v>0.1826114354</v>
      </c>
      <c r="AA42" s="47">
        <f t="shared" si="73"/>
        <v>0.1744418465</v>
      </c>
      <c r="AB42" s="47" t="str">
        <f t="shared" si="73"/>
        <v>-</v>
      </c>
      <c r="AC42" s="47" t="str">
        <f t="shared" si="73"/>
        <v>-</v>
      </c>
      <c r="AD42" s="47" t="str">
        <f t="shared" si="73"/>
        <v>-</v>
      </c>
      <c r="AE42" s="47" t="str">
        <f t="shared" si="73"/>
        <v>-</v>
      </c>
      <c r="AF42" s="47" t="str">
        <f t="shared" si="73"/>
        <v>-</v>
      </c>
      <c r="AG42" s="14"/>
      <c r="AH42" s="47">
        <f t="shared" si="65"/>
        <v>0.03763432076</v>
      </c>
      <c r="AI42" s="47">
        <f t="shared" ref="AI42:AT42" si="74">IFERROR(($D42-U42)*ln($D42/U42),"-")</f>
        <v>0.009656684411</v>
      </c>
      <c r="AJ42" s="47">
        <f t="shared" si="74"/>
        <v>0.003709236879</v>
      </c>
      <c r="AK42" s="47">
        <f t="shared" si="74"/>
        <v>0.01193033996</v>
      </c>
      <c r="AL42" s="47">
        <f t="shared" si="74"/>
        <v>0.02239188632</v>
      </c>
      <c r="AM42" s="47">
        <f t="shared" si="74"/>
        <v>0.01888333229</v>
      </c>
      <c r="AN42" s="47">
        <f t="shared" si="74"/>
        <v>0.01763500963</v>
      </c>
      <c r="AO42" s="47">
        <f t="shared" si="74"/>
        <v>0.01286037877</v>
      </c>
      <c r="AP42" s="47" t="str">
        <f t="shared" si="74"/>
        <v>-</v>
      </c>
      <c r="AQ42" s="47" t="str">
        <f t="shared" si="74"/>
        <v>-</v>
      </c>
      <c r="AR42" s="47" t="str">
        <f t="shared" si="74"/>
        <v>-</v>
      </c>
      <c r="AS42" s="47" t="str">
        <f t="shared" si="74"/>
        <v>-</v>
      </c>
      <c r="AT42" s="47" t="str">
        <f t="shared" si="74"/>
        <v>-</v>
      </c>
    </row>
    <row r="43">
      <c r="A43" s="14"/>
      <c r="B43" s="43" t="s">
        <v>637</v>
      </c>
      <c r="C43" s="44">
        <f>SUMIFS(CUBE!$E:$E,CUBE!$A:$A,$B$6,CUBE!$B:$B,C$8,CUBE!$C:$C,$B$36,CUBE!$D:$D,$B43)</f>
        <v>4909</v>
      </c>
      <c r="D43" s="45">
        <f t="shared" si="62"/>
        <v>0.09430772482</v>
      </c>
      <c r="E43" s="14"/>
      <c r="F43" s="44">
        <f>SUMIFS(CUBE!$E:$E,CUBE!$A:$A,$B$6,CUBE!$B:$B,F$8,CUBE!$C:$C,$B$36,CUBE!$D:$D,$B43)</f>
        <v>6332</v>
      </c>
      <c r="G43" s="44">
        <f>SUMIFS(CUBE!$E:$E,CUBE!$A:$A,$B$6,CUBE!$B:$B,G$8,CUBE!$C:$C,$B$36,CUBE!$D:$D,$B43)</f>
        <v>198373</v>
      </c>
      <c r="H43" s="44">
        <f>SUMIFS(CUBE!$E:$E,CUBE!$A:$A,$B$6,CUBE!$B:$B,H$8,CUBE!$C:$C,$B$36,CUBE!$D:$D,$B43)</f>
        <v>349568</v>
      </c>
      <c r="I43" s="44">
        <f>SUMIFS(CUBE!$E:$E,CUBE!$A:$A,$B$6,CUBE!$B:$B,I$8,CUBE!$C:$C,$B$36,CUBE!$D:$D,$B43)</f>
        <v>269877</v>
      </c>
      <c r="J43" s="44">
        <f>SUMIFS(CUBE!$E:$E,CUBE!$A:$A,$B$6,CUBE!$B:$B,J$8,CUBE!$C:$C,$B$36,CUBE!$D:$D,$B43)</f>
        <v>229481</v>
      </c>
      <c r="K43" s="44">
        <f>SUMIFS(CUBE!$E:$E,CUBE!$A:$A,$B$6,CUBE!$B:$B,K$8,CUBE!$C:$C,$B$36,CUBE!$D:$D,$B43)</f>
        <v>139375</v>
      </c>
      <c r="L43" s="44">
        <f>SUMIFS(CUBE!$E:$E,CUBE!$A:$A,$B$6,CUBE!$B:$B,L$8,CUBE!$C:$C,$B$36,CUBE!$D:$D,$B43)</f>
        <v>155092</v>
      </c>
      <c r="M43" s="44">
        <f>SUMIFS(CUBE!$E:$E,CUBE!$A:$A,$B$6,CUBE!$B:$B,M$8,CUBE!$C:$C,$B$36,CUBE!$D:$D,$B43)</f>
        <v>118791</v>
      </c>
      <c r="N43" s="44">
        <f>SUMIFS(CUBE!$E:$E,CUBE!$A:$A,$B$6,CUBE!$B:$B,N$8,CUBE!$C:$C,$B$36,CUBE!$D:$D,$B43)</f>
        <v>0</v>
      </c>
      <c r="O43" s="44">
        <f>SUMIFS(CUBE!$E:$E,CUBE!$A:$A,$B$6,CUBE!$B:$B,O$8,CUBE!$C:$C,$B$36,CUBE!$D:$D,$B43)</f>
        <v>0</v>
      </c>
      <c r="P43" s="44">
        <f>SUMIFS(CUBE!$E:$E,CUBE!$A:$A,$B$6,CUBE!$B:$B,P$8,CUBE!$C:$C,$B$36,CUBE!$D:$D,$B43)</f>
        <v>0</v>
      </c>
      <c r="Q43" s="44">
        <f>SUMIFS(CUBE!$E:$E,CUBE!$A:$A,$B$6,CUBE!$B:$B,Q$8,CUBE!$C:$C,$B$36,CUBE!$D:$D,$B43)</f>
        <v>0</v>
      </c>
      <c r="R43" s="44">
        <f>SUMIFS(CUBE!$E:$E,CUBE!$A:$A,$B$6,CUBE!$B:$B,R$8,CUBE!$C:$C,$B$36,CUBE!$D:$D,$B43)</f>
        <v>0</v>
      </c>
      <c r="S43" s="14"/>
      <c r="T43" s="45">
        <f t="shared" si="63"/>
        <v>0.09745586628</v>
      </c>
      <c r="U43" s="45">
        <f t="shared" ref="U43:AF43" si="75">IFERROR(G43/G$19,"-")</f>
        <v>0.1900102681</v>
      </c>
      <c r="V43" s="45">
        <f t="shared" si="75"/>
        <v>0.1408262779</v>
      </c>
      <c r="W43" s="45">
        <f t="shared" si="75"/>
        <v>0.176307228</v>
      </c>
      <c r="X43" s="45">
        <f t="shared" si="75"/>
        <v>0.2030426177</v>
      </c>
      <c r="Y43" s="45">
        <f t="shared" si="75"/>
        <v>0.1825979413</v>
      </c>
      <c r="Z43" s="45">
        <f t="shared" si="75"/>
        <v>0.1796495553</v>
      </c>
      <c r="AA43" s="45">
        <f t="shared" si="75"/>
        <v>0.1574533569</v>
      </c>
      <c r="AB43" s="45" t="str">
        <f t="shared" si="75"/>
        <v>-</v>
      </c>
      <c r="AC43" s="45" t="str">
        <f t="shared" si="75"/>
        <v>-</v>
      </c>
      <c r="AD43" s="45" t="str">
        <f t="shared" si="75"/>
        <v>-</v>
      </c>
      <c r="AE43" s="45" t="str">
        <f t="shared" si="75"/>
        <v>-</v>
      </c>
      <c r="AF43" s="45" t="str">
        <f t="shared" si="75"/>
        <v>-</v>
      </c>
      <c r="AG43" s="14"/>
      <c r="AH43" s="45">
        <f t="shared" si="65"/>
        <v>0.0001033740046</v>
      </c>
      <c r="AI43" s="45">
        <f t="shared" ref="AI43:AT43" si="76">IFERROR(($D43-U43)*ln($D43/U43),"-")</f>
        <v>0.067041068</v>
      </c>
      <c r="AJ43" s="45">
        <f t="shared" si="76"/>
        <v>0.01865226307</v>
      </c>
      <c r="AK43" s="45">
        <f t="shared" si="76"/>
        <v>0.05130421774</v>
      </c>
      <c r="AL43" s="45">
        <f t="shared" si="76"/>
        <v>0.08338365627</v>
      </c>
      <c r="AM43" s="45">
        <f t="shared" si="76"/>
        <v>0.05833542877</v>
      </c>
      <c r="AN43" s="45">
        <f t="shared" si="76"/>
        <v>0.0549981103</v>
      </c>
      <c r="AO43" s="45">
        <f t="shared" si="76"/>
        <v>0.03236631438</v>
      </c>
      <c r="AP43" s="45" t="str">
        <f t="shared" si="76"/>
        <v>-</v>
      </c>
      <c r="AQ43" s="45" t="str">
        <f t="shared" si="76"/>
        <v>-</v>
      </c>
      <c r="AR43" s="45" t="str">
        <f t="shared" si="76"/>
        <v>-</v>
      </c>
      <c r="AS43" s="45" t="str">
        <f t="shared" si="76"/>
        <v>-</v>
      </c>
      <c r="AT43" s="45" t="str">
        <f t="shared" si="76"/>
        <v>-</v>
      </c>
    </row>
    <row r="44">
      <c r="A44" s="14"/>
      <c r="B44" s="48" t="s">
        <v>657</v>
      </c>
      <c r="C44" s="49">
        <f>SUM(C37:C43)</f>
        <v>52053</v>
      </c>
      <c r="D44" s="50">
        <f t="shared" si="62"/>
        <v>1</v>
      </c>
      <c r="E44" s="14"/>
      <c r="F44" s="49">
        <f t="shared" ref="F44:R44" si="77">SUM(F37:F43)</f>
        <v>64973</v>
      </c>
      <c r="G44" s="49">
        <f t="shared" si="77"/>
        <v>1044012</v>
      </c>
      <c r="H44" s="49">
        <f t="shared" si="77"/>
        <v>2482264</v>
      </c>
      <c r="I44" s="49">
        <f t="shared" si="77"/>
        <v>1530720</v>
      </c>
      <c r="J44" s="49">
        <f t="shared" si="77"/>
        <v>1130211</v>
      </c>
      <c r="K44" s="49">
        <f t="shared" si="77"/>
        <v>763289</v>
      </c>
      <c r="L44" s="49">
        <f t="shared" si="77"/>
        <v>863303</v>
      </c>
      <c r="M44" s="49">
        <f t="shared" si="77"/>
        <v>754452</v>
      </c>
      <c r="N44" s="49">
        <f t="shared" si="77"/>
        <v>0</v>
      </c>
      <c r="O44" s="49">
        <f t="shared" si="77"/>
        <v>0</v>
      </c>
      <c r="P44" s="49">
        <f t="shared" si="77"/>
        <v>0</v>
      </c>
      <c r="Q44" s="49">
        <f t="shared" si="77"/>
        <v>0</v>
      </c>
      <c r="R44" s="49">
        <f t="shared" si="77"/>
        <v>0</v>
      </c>
      <c r="S44" s="14"/>
      <c r="T44" s="50">
        <f t="shared" si="63"/>
        <v>1</v>
      </c>
      <c r="U44" s="50">
        <f t="shared" ref="U44:AF44" si="78">IFERROR(G44/G$19,"-")</f>
        <v>1</v>
      </c>
      <c r="V44" s="50">
        <f t="shared" si="78"/>
        <v>1</v>
      </c>
      <c r="W44" s="50">
        <f t="shared" si="78"/>
        <v>1</v>
      </c>
      <c r="X44" s="50">
        <f t="shared" si="78"/>
        <v>1</v>
      </c>
      <c r="Y44" s="50">
        <f t="shared" si="78"/>
        <v>1</v>
      </c>
      <c r="Z44" s="50">
        <f t="shared" si="78"/>
        <v>1</v>
      </c>
      <c r="AA44" s="50">
        <f t="shared" si="78"/>
        <v>1</v>
      </c>
      <c r="AB44" s="50" t="str">
        <f t="shared" si="78"/>
        <v>-</v>
      </c>
      <c r="AC44" s="50" t="str">
        <f t="shared" si="78"/>
        <v>-</v>
      </c>
      <c r="AD44" s="50" t="str">
        <f t="shared" si="78"/>
        <v>-</v>
      </c>
      <c r="AE44" s="50" t="str">
        <f t="shared" si="78"/>
        <v>-</v>
      </c>
      <c r="AF44" s="50" t="str">
        <f t="shared" si="78"/>
        <v>-</v>
      </c>
      <c r="AG44" s="14"/>
      <c r="AH44" s="34">
        <f t="shared" ref="AH44:AT44" si="79">SUM(AH37:AH43)</f>
        <v>0.1733984248</v>
      </c>
      <c r="AI44" s="34">
        <f t="shared" si="79"/>
        <v>0.1240448014</v>
      </c>
      <c r="AJ44" s="34">
        <f t="shared" si="79"/>
        <v>0.1068106358</v>
      </c>
      <c r="AK44" s="34">
        <f t="shared" si="79"/>
        <v>0.09243143886</v>
      </c>
      <c r="AL44" s="34">
        <f t="shared" si="79"/>
        <v>0.1621626858</v>
      </c>
      <c r="AM44" s="34">
        <f t="shared" si="79"/>
        <v>0.1189406928</v>
      </c>
      <c r="AN44" s="34">
        <f t="shared" si="79"/>
        <v>0.1189786078</v>
      </c>
      <c r="AO44" s="34">
        <f t="shared" si="79"/>
        <v>0.07323696131</v>
      </c>
      <c r="AP44" s="34">
        <f t="shared" si="79"/>
        <v>0</v>
      </c>
      <c r="AQ44" s="34">
        <f t="shared" si="79"/>
        <v>0</v>
      </c>
      <c r="AR44" s="34">
        <f t="shared" si="79"/>
        <v>0</v>
      </c>
      <c r="AS44" s="34">
        <f t="shared" si="79"/>
        <v>0</v>
      </c>
      <c r="AT44" s="34">
        <f t="shared" si="79"/>
        <v>0</v>
      </c>
    </row>
    <row r="45" ht="15.75" customHeight="1">
      <c r="A45" s="14"/>
      <c r="B45" s="14"/>
      <c r="C45" s="14"/>
      <c r="D45" s="14"/>
      <c r="E45" s="14"/>
      <c r="F45" s="14" t="b">
        <f t="shared" ref="F45:R45" si="80">F44=F$19</f>
        <v>1</v>
      </c>
      <c r="G45" s="14" t="b">
        <f t="shared" si="80"/>
        <v>1</v>
      </c>
      <c r="H45" s="14" t="b">
        <f t="shared" si="80"/>
        <v>1</v>
      </c>
      <c r="I45" s="14" t="b">
        <f t="shared" si="80"/>
        <v>1</v>
      </c>
      <c r="J45" s="14" t="b">
        <f t="shared" si="80"/>
        <v>1</v>
      </c>
      <c r="K45" s="14" t="b">
        <f t="shared" si="80"/>
        <v>1</v>
      </c>
      <c r="L45" s="14" t="b">
        <f t="shared" si="80"/>
        <v>1</v>
      </c>
      <c r="M45" s="14" t="b">
        <f t="shared" si="80"/>
        <v>1</v>
      </c>
      <c r="N45" s="14" t="b">
        <f t="shared" si="80"/>
        <v>1</v>
      </c>
      <c r="O45" s="14" t="b">
        <f t="shared" si="80"/>
        <v>1</v>
      </c>
      <c r="P45" s="14" t="b">
        <f t="shared" si="80"/>
        <v>1</v>
      </c>
      <c r="Q45" s="14" t="b">
        <f t="shared" si="80"/>
        <v>1</v>
      </c>
      <c r="R45" s="14" t="b">
        <f t="shared" si="80"/>
        <v>1</v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</row>
    <row r="46">
      <c r="A46" s="14"/>
      <c r="B46" s="14"/>
      <c r="C46" s="14"/>
      <c r="D46" s="14"/>
      <c r="E46" s="14"/>
      <c r="F46" s="40" t="s">
        <v>655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2"/>
      <c r="S46" s="14"/>
      <c r="T46" s="40" t="s">
        <v>656</v>
      </c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2"/>
      <c r="AG46" s="14"/>
      <c r="AH46" s="40" t="s">
        <v>657</v>
      </c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2"/>
    </row>
    <row r="47">
      <c r="A47" s="14"/>
      <c r="B47" s="41" t="s">
        <v>605</v>
      </c>
      <c r="C47" s="15" t="s">
        <v>596</v>
      </c>
      <c r="D47" s="15" t="s">
        <v>596</v>
      </c>
      <c r="E47" s="14"/>
      <c r="F47" s="15" t="s">
        <v>601</v>
      </c>
      <c r="G47" s="42" t="s">
        <v>643</v>
      </c>
      <c r="H47" s="15" t="s">
        <v>644</v>
      </c>
      <c r="I47" s="15" t="s">
        <v>630</v>
      </c>
      <c r="J47" s="15" t="s">
        <v>629</v>
      </c>
      <c r="K47" s="15" t="s">
        <v>645</v>
      </c>
      <c r="L47" s="15" t="s">
        <v>628</v>
      </c>
      <c r="M47" s="15" t="s">
        <v>646</v>
      </c>
      <c r="N47" s="15" t="s">
        <v>658</v>
      </c>
      <c r="O47" s="15" t="s">
        <v>659</v>
      </c>
      <c r="P47" s="15" t="s">
        <v>660</v>
      </c>
      <c r="Q47" s="15" t="s">
        <v>661</v>
      </c>
      <c r="R47" s="15" t="s">
        <v>662</v>
      </c>
      <c r="S47" s="14"/>
      <c r="T47" s="15" t="s">
        <v>601</v>
      </c>
      <c r="U47" s="15" t="str">
        <f t="shared" ref="U47:AF47" si="81">G47</f>
        <v>2021-01</v>
      </c>
      <c r="V47" s="15" t="str">
        <f t="shared" si="81"/>
        <v>2021-02</v>
      </c>
      <c r="W47" s="15" t="str">
        <f t="shared" si="81"/>
        <v>2021-03</v>
      </c>
      <c r="X47" s="15" t="str">
        <f t="shared" si="81"/>
        <v>2021-04</v>
      </c>
      <c r="Y47" s="15" t="str">
        <f t="shared" si="81"/>
        <v>2021-05</v>
      </c>
      <c r="Z47" s="15" t="str">
        <f t="shared" si="81"/>
        <v>2021-06</v>
      </c>
      <c r="AA47" s="15" t="str">
        <f t="shared" si="81"/>
        <v>2021-07</v>
      </c>
      <c r="AB47" s="15" t="str">
        <f t="shared" si="81"/>
        <v>2021-08</v>
      </c>
      <c r="AC47" s="15" t="str">
        <f t="shared" si="81"/>
        <v>2021-09</v>
      </c>
      <c r="AD47" s="15" t="str">
        <f t="shared" si="81"/>
        <v>2021-10</v>
      </c>
      <c r="AE47" s="15" t="str">
        <f t="shared" si="81"/>
        <v>2021-11</v>
      </c>
      <c r="AF47" s="15" t="str">
        <f t="shared" si="81"/>
        <v>2021-12</v>
      </c>
      <c r="AG47" s="14"/>
      <c r="AH47" s="15" t="s">
        <v>601</v>
      </c>
      <c r="AI47" s="15" t="str">
        <f t="shared" ref="AI47:AT47" si="82">U47</f>
        <v>2021-01</v>
      </c>
      <c r="AJ47" s="15" t="str">
        <f t="shared" si="82"/>
        <v>2021-02</v>
      </c>
      <c r="AK47" s="15" t="str">
        <f t="shared" si="82"/>
        <v>2021-03</v>
      </c>
      <c r="AL47" s="15" t="str">
        <f t="shared" si="82"/>
        <v>2021-04</v>
      </c>
      <c r="AM47" s="15" t="str">
        <f t="shared" si="82"/>
        <v>2021-05</v>
      </c>
      <c r="AN47" s="15" t="str">
        <f t="shared" si="82"/>
        <v>2021-06</v>
      </c>
      <c r="AO47" s="15" t="str">
        <f t="shared" si="82"/>
        <v>2021-07</v>
      </c>
      <c r="AP47" s="15" t="str">
        <f t="shared" si="82"/>
        <v>2021-08</v>
      </c>
      <c r="AQ47" s="15" t="str">
        <f t="shared" si="82"/>
        <v>2021-09</v>
      </c>
      <c r="AR47" s="15" t="str">
        <f t="shared" si="82"/>
        <v>2021-10</v>
      </c>
      <c r="AS47" s="15" t="str">
        <f t="shared" si="82"/>
        <v>2021-11</v>
      </c>
      <c r="AT47" s="15" t="str">
        <f t="shared" si="82"/>
        <v>2021-12</v>
      </c>
    </row>
    <row r="48">
      <c r="A48" s="14"/>
      <c r="B48" s="43" t="s">
        <v>607</v>
      </c>
      <c r="C48" s="44">
        <f>SUMIFS(CUBE!$E:$E,CUBE!$A:$A,$B$6,CUBE!$B:$B,C$8,CUBE!$C:$C,$B$47,CUBE!$D:$D,$B48)</f>
        <v>3738</v>
      </c>
      <c r="D48" s="45">
        <f t="shared" ref="D48:D56" si="85">C48/C$19</f>
        <v>0.07181142297</v>
      </c>
      <c r="E48" s="14"/>
      <c r="F48" s="44">
        <f>SUMIFS(CUBE!$E:$E,CUBE!$A:$A,$B$6,CUBE!$B:$B,F$8,CUBE!$C:$C,$B$47,CUBE!$D:$D,$B48)</f>
        <v>2118</v>
      </c>
      <c r="G48" s="44">
        <f>SUMIFS(CUBE!$E:$E,CUBE!$A:$A,$B$6,CUBE!$B:$B,G$8,CUBE!$C:$C,$B$47,CUBE!$D:$D,$B48)</f>
        <v>39030</v>
      </c>
      <c r="H48" s="44">
        <f>SUMIFS(CUBE!$E:$E,CUBE!$A:$A,$B$6,CUBE!$B:$B,H$8,CUBE!$C:$C,$B$47,CUBE!$D:$D,$B48)</f>
        <v>136242</v>
      </c>
      <c r="I48" s="44">
        <f>SUMIFS(CUBE!$E:$E,CUBE!$A:$A,$B$6,CUBE!$B:$B,I$8,CUBE!$C:$C,$B$47,CUBE!$D:$D,$B48)</f>
        <v>70383</v>
      </c>
      <c r="J48" s="44">
        <f>SUMIFS(CUBE!$E:$E,CUBE!$A:$A,$B$6,CUBE!$B:$B,J$8,CUBE!$C:$C,$B$47,CUBE!$D:$D,$B48)</f>
        <v>80587</v>
      </c>
      <c r="K48" s="44">
        <f>SUMIFS(CUBE!$E:$E,CUBE!$A:$A,$B$6,CUBE!$B:$B,K$8,CUBE!$C:$C,$B$47,CUBE!$D:$D,$B48)</f>
        <v>62894</v>
      </c>
      <c r="L48" s="44">
        <f>SUMIFS(CUBE!$E:$E,CUBE!$A:$A,$B$6,CUBE!$B:$B,L$8,CUBE!$C:$C,$B$47,CUBE!$D:$D,$B48)</f>
        <v>74348</v>
      </c>
      <c r="M48" s="44">
        <f>SUMIFS(CUBE!$E:$E,CUBE!$A:$A,$B$6,CUBE!$B:$B,M$8,CUBE!$C:$C,$B$47,CUBE!$D:$D,$B48)</f>
        <v>65350</v>
      </c>
      <c r="N48" s="44">
        <f>SUMIFS(CUBE!$E:$E,CUBE!$A:$A,$B$6,CUBE!$B:$B,N$8,CUBE!$C:$C,$B$47,CUBE!$D:$D,$B48)</f>
        <v>0</v>
      </c>
      <c r="O48" s="44">
        <f>SUMIFS(CUBE!$E:$E,CUBE!$A:$A,$B$6,CUBE!$B:$B,O$8,CUBE!$C:$C,$B$47,CUBE!$D:$D,$B48)</f>
        <v>0</v>
      </c>
      <c r="P48" s="44">
        <f>SUMIFS(CUBE!$E:$E,CUBE!$A:$A,$B$6,CUBE!$B:$B,P$8,CUBE!$C:$C,$B$47,CUBE!$D:$D,$B48)</f>
        <v>0</v>
      </c>
      <c r="Q48" s="44">
        <f>SUMIFS(CUBE!$E:$E,CUBE!$A:$A,$B$6,CUBE!$B:$B,Q$8,CUBE!$C:$C,$B$47,CUBE!$D:$D,$B48)</f>
        <v>0</v>
      </c>
      <c r="R48" s="44">
        <f>SUMIFS(CUBE!$E:$E,CUBE!$A:$A,$B$6,CUBE!$B:$B,R$8,CUBE!$C:$C,$B$47,CUBE!$D:$D,$B48)</f>
        <v>0</v>
      </c>
      <c r="S48" s="14"/>
      <c r="T48" s="45">
        <f t="shared" ref="T48:T56" si="86">F48/F$19</f>
        <v>0.03259815616</v>
      </c>
      <c r="U48" s="45">
        <f t="shared" ref="U48:AF48" si="83">IFERROR(G48/G$19,"-")</f>
        <v>0.03738462776</v>
      </c>
      <c r="V48" s="45">
        <f t="shared" si="83"/>
        <v>0.05488618455</v>
      </c>
      <c r="W48" s="45">
        <f t="shared" si="83"/>
        <v>0.04598032299</v>
      </c>
      <c r="X48" s="45">
        <f t="shared" si="83"/>
        <v>0.07130261518</v>
      </c>
      <c r="Y48" s="45">
        <f t="shared" si="83"/>
        <v>0.08239867206</v>
      </c>
      <c r="Z48" s="45">
        <f t="shared" si="83"/>
        <v>0.08612040037</v>
      </c>
      <c r="AA48" s="45">
        <f t="shared" si="83"/>
        <v>0.08661916199</v>
      </c>
      <c r="AB48" s="45" t="str">
        <f t="shared" si="83"/>
        <v>-</v>
      </c>
      <c r="AC48" s="45" t="str">
        <f t="shared" si="83"/>
        <v>-</v>
      </c>
      <c r="AD48" s="45" t="str">
        <f t="shared" si="83"/>
        <v>-</v>
      </c>
      <c r="AE48" s="45" t="str">
        <f t="shared" si="83"/>
        <v>-</v>
      </c>
      <c r="AF48" s="45" t="str">
        <f t="shared" si="83"/>
        <v>-</v>
      </c>
      <c r="AG48" s="14"/>
      <c r="AH48" s="45">
        <f t="shared" ref="AH48:AH55" si="88">($D48-T48)*ln($D48/T48)</f>
        <v>0.03097016093</v>
      </c>
      <c r="AI48" s="45">
        <f t="shared" ref="AI48:AT48" si="84">IFERROR(($D48-U48)*ln($D48/U48),"-")</f>
        <v>0.02247325971</v>
      </c>
      <c r="AJ48" s="45">
        <f t="shared" si="84"/>
        <v>0.004549197547</v>
      </c>
      <c r="AK48" s="45">
        <f t="shared" si="84"/>
        <v>0.01151627967</v>
      </c>
      <c r="AL48" s="45">
        <f t="shared" si="84"/>
        <v>0.000003617904557</v>
      </c>
      <c r="AM48" s="45">
        <f t="shared" si="84"/>
        <v>0.001456019512</v>
      </c>
      <c r="AN48" s="45">
        <f t="shared" si="84"/>
        <v>0.002599980739</v>
      </c>
      <c r="AO48" s="45">
        <f t="shared" si="84"/>
        <v>0.002776117942</v>
      </c>
      <c r="AP48" s="45" t="str">
        <f t="shared" si="84"/>
        <v>-</v>
      </c>
      <c r="AQ48" s="45" t="str">
        <f t="shared" si="84"/>
        <v>-</v>
      </c>
      <c r="AR48" s="45" t="str">
        <f t="shared" si="84"/>
        <v>-</v>
      </c>
      <c r="AS48" s="45" t="str">
        <f t="shared" si="84"/>
        <v>-</v>
      </c>
      <c r="AT48" s="45" t="str">
        <f t="shared" si="84"/>
        <v>-</v>
      </c>
    </row>
    <row r="49">
      <c r="A49" s="14"/>
      <c r="B49" s="43" t="s">
        <v>633</v>
      </c>
      <c r="C49" s="46">
        <f>SUMIFS(CUBE!$E:$E,CUBE!$A:$A,$B$6,CUBE!$B:$B,C$8,CUBE!$C:$C,$B$47,CUBE!$D:$D,$B49)</f>
        <v>9818</v>
      </c>
      <c r="D49" s="47">
        <f t="shared" si="85"/>
        <v>0.1886154496</v>
      </c>
      <c r="E49" s="14"/>
      <c r="F49" s="46">
        <f>SUMIFS(CUBE!$E:$E,CUBE!$A:$A,$B$6,CUBE!$B:$B,F$8,CUBE!$C:$C,$B$47,CUBE!$D:$D,$B49)</f>
        <v>5609</v>
      </c>
      <c r="G49" s="46">
        <f>SUMIFS(CUBE!$E:$E,CUBE!$A:$A,$B$6,CUBE!$B:$B,G$8,CUBE!$C:$C,$B$47,CUBE!$D:$D,$B49)</f>
        <v>92292</v>
      </c>
      <c r="H49" s="46">
        <f>SUMIFS(CUBE!$E:$E,CUBE!$A:$A,$B$6,CUBE!$B:$B,H$8,CUBE!$C:$C,$B$47,CUBE!$D:$D,$B49)</f>
        <v>925282</v>
      </c>
      <c r="I49" s="46">
        <f>SUMIFS(CUBE!$E:$E,CUBE!$A:$A,$B$6,CUBE!$B:$B,I$8,CUBE!$C:$C,$B$47,CUBE!$D:$D,$B49)</f>
        <v>218232</v>
      </c>
      <c r="J49" s="46">
        <f>SUMIFS(CUBE!$E:$E,CUBE!$A:$A,$B$6,CUBE!$B:$B,J$8,CUBE!$C:$C,$B$47,CUBE!$D:$D,$B49)</f>
        <v>244061</v>
      </c>
      <c r="K49" s="46">
        <f>SUMIFS(CUBE!$E:$E,CUBE!$A:$A,$B$6,CUBE!$B:$B,K$8,CUBE!$C:$C,$B$47,CUBE!$D:$D,$B49)</f>
        <v>204236</v>
      </c>
      <c r="L49" s="46">
        <f>SUMIFS(CUBE!$E:$E,CUBE!$A:$A,$B$6,CUBE!$B:$B,L$8,CUBE!$C:$C,$B$47,CUBE!$D:$D,$B49)</f>
        <v>240630</v>
      </c>
      <c r="M49" s="46">
        <f>SUMIFS(CUBE!$E:$E,CUBE!$A:$A,$B$6,CUBE!$B:$B,M$8,CUBE!$C:$C,$B$47,CUBE!$D:$D,$B49)</f>
        <v>215981</v>
      </c>
      <c r="N49" s="46">
        <f>SUMIFS(CUBE!$E:$E,CUBE!$A:$A,$B$6,CUBE!$B:$B,N$8,CUBE!$C:$C,$B$47,CUBE!$D:$D,$B49)</f>
        <v>0</v>
      </c>
      <c r="O49" s="46">
        <f>SUMIFS(CUBE!$E:$E,CUBE!$A:$A,$B$6,CUBE!$B:$B,O$8,CUBE!$C:$C,$B$47,CUBE!$D:$D,$B49)</f>
        <v>0</v>
      </c>
      <c r="P49" s="46">
        <f>SUMIFS(CUBE!$E:$E,CUBE!$A:$A,$B$6,CUBE!$B:$B,P$8,CUBE!$C:$C,$B$47,CUBE!$D:$D,$B49)</f>
        <v>0</v>
      </c>
      <c r="Q49" s="46">
        <f>SUMIFS(CUBE!$E:$E,CUBE!$A:$A,$B$6,CUBE!$B:$B,Q$8,CUBE!$C:$C,$B$47,CUBE!$D:$D,$B49)</f>
        <v>0</v>
      </c>
      <c r="R49" s="46">
        <f>SUMIFS(CUBE!$E:$E,CUBE!$A:$A,$B$6,CUBE!$B:$B,R$8,CUBE!$C:$C,$B$47,CUBE!$D:$D,$B49)</f>
        <v>0</v>
      </c>
      <c r="S49" s="14"/>
      <c r="T49" s="47">
        <f t="shared" si="86"/>
        <v>0.08632816708</v>
      </c>
      <c r="U49" s="47">
        <f t="shared" ref="U49:AF49" si="87">IFERROR(G49/G$19,"-")</f>
        <v>0.08840128274</v>
      </c>
      <c r="V49" s="47">
        <f t="shared" si="87"/>
        <v>0.3727572893</v>
      </c>
      <c r="W49" s="47">
        <f t="shared" si="87"/>
        <v>0.1425682032</v>
      </c>
      <c r="X49" s="47">
        <f t="shared" si="87"/>
        <v>0.2159428638</v>
      </c>
      <c r="Y49" s="47">
        <f t="shared" si="87"/>
        <v>0.2675736189</v>
      </c>
      <c r="Z49" s="47">
        <f t="shared" si="87"/>
        <v>0.278731801</v>
      </c>
      <c r="AA49" s="47">
        <f t="shared" si="87"/>
        <v>0.2862753363</v>
      </c>
      <c r="AB49" s="47" t="str">
        <f t="shared" si="87"/>
        <v>-</v>
      </c>
      <c r="AC49" s="47" t="str">
        <f t="shared" si="87"/>
        <v>-</v>
      </c>
      <c r="AD49" s="47" t="str">
        <f t="shared" si="87"/>
        <v>-</v>
      </c>
      <c r="AE49" s="47" t="str">
        <f t="shared" si="87"/>
        <v>-</v>
      </c>
      <c r="AF49" s="47" t="str">
        <f t="shared" si="87"/>
        <v>-</v>
      </c>
      <c r="AG49" s="14"/>
      <c r="AH49" s="47">
        <f t="shared" si="88"/>
        <v>0.07994307102</v>
      </c>
      <c r="AI49" s="47">
        <f t="shared" ref="AI49:AT49" si="89">IFERROR(($D49-U49)*ln($D49/U49),"-")</f>
        <v>0.07594468118</v>
      </c>
      <c r="AJ49" s="47">
        <f t="shared" si="89"/>
        <v>0.125440593</v>
      </c>
      <c r="AK49" s="47">
        <f t="shared" si="89"/>
        <v>0.01288815368</v>
      </c>
      <c r="AL49" s="47">
        <f t="shared" si="89"/>
        <v>0.003697496657</v>
      </c>
      <c r="AM49" s="47">
        <f t="shared" si="89"/>
        <v>0.02761044439</v>
      </c>
      <c r="AN49" s="47">
        <f t="shared" si="89"/>
        <v>0.03519401719</v>
      </c>
      <c r="AO49" s="47">
        <f t="shared" si="89"/>
        <v>0.04074798002</v>
      </c>
      <c r="AP49" s="47" t="str">
        <f t="shared" si="89"/>
        <v>-</v>
      </c>
      <c r="AQ49" s="47" t="str">
        <f t="shared" si="89"/>
        <v>-</v>
      </c>
      <c r="AR49" s="47" t="str">
        <f t="shared" si="89"/>
        <v>-</v>
      </c>
      <c r="AS49" s="47" t="str">
        <f t="shared" si="89"/>
        <v>-</v>
      </c>
      <c r="AT49" s="47" t="str">
        <f t="shared" si="89"/>
        <v>-</v>
      </c>
    </row>
    <row r="50">
      <c r="A50" s="14"/>
      <c r="B50" s="43" t="s">
        <v>634</v>
      </c>
      <c r="C50" s="44">
        <f>SUMIFS(CUBE!$E:$E,CUBE!$A:$A,$B$6,CUBE!$B:$B,C$8,CUBE!$C:$C,$B$47,CUBE!$D:$D,$B50)</f>
        <v>881</v>
      </c>
      <c r="D50" s="45">
        <f t="shared" si="85"/>
        <v>0.01692505715</v>
      </c>
      <c r="E50" s="14"/>
      <c r="F50" s="44">
        <f>SUMIFS(CUBE!$E:$E,CUBE!$A:$A,$B$6,CUBE!$B:$B,F$8,CUBE!$C:$C,$B$47,CUBE!$D:$D,$B50)</f>
        <v>507</v>
      </c>
      <c r="G50" s="44">
        <f>SUMIFS(CUBE!$E:$E,CUBE!$A:$A,$B$6,CUBE!$B:$B,G$8,CUBE!$C:$C,$B$47,CUBE!$D:$D,$B50)</f>
        <v>12347</v>
      </c>
      <c r="H50" s="44">
        <f>SUMIFS(CUBE!$E:$E,CUBE!$A:$A,$B$6,CUBE!$B:$B,H$8,CUBE!$C:$C,$B$47,CUBE!$D:$D,$B50)</f>
        <v>89986</v>
      </c>
      <c r="I50" s="44">
        <f>SUMIFS(CUBE!$E:$E,CUBE!$A:$A,$B$6,CUBE!$B:$B,I$8,CUBE!$C:$C,$B$47,CUBE!$D:$D,$B50)</f>
        <v>26540</v>
      </c>
      <c r="J50" s="44">
        <f>SUMIFS(CUBE!$E:$E,CUBE!$A:$A,$B$6,CUBE!$B:$B,J$8,CUBE!$C:$C,$B$47,CUBE!$D:$D,$B50)</f>
        <v>28620</v>
      </c>
      <c r="K50" s="44">
        <f>SUMIFS(CUBE!$E:$E,CUBE!$A:$A,$B$6,CUBE!$B:$B,K$8,CUBE!$C:$C,$B$47,CUBE!$D:$D,$B50)</f>
        <v>24791</v>
      </c>
      <c r="L50" s="44">
        <f>SUMIFS(CUBE!$E:$E,CUBE!$A:$A,$B$6,CUBE!$B:$B,L$8,CUBE!$C:$C,$B$47,CUBE!$D:$D,$B50)</f>
        <v>30294</v>
      </c>
      <c r="M50" s="44">
        <f>SUMIFS(CUBE!$E:$E,CUBE!$A:$A,$B$6,CUBE!$B:$B,M$8,CUBE!$C:$C,$B$47,CUBE!$D:$D,$B50)</f>
        <v>24920</v>
      </c>
      <c r="N50" s="44">
        <f>SUMIFS(CUBE!$E:$E,CUBE!$A:$A,$B$6,CUBE!$B:$B,N$8,CUBE!$C:$C,$B$47,CUBE!$D:$D,$B50)</f>
        <v>0</v>
      </c>
      <c r="O50" s="44">
        <f>SUMIFS(CUBE!$E:$E,CUBE!$A:$A,$B$6,CUBE!$B:$B,O$8,CUBE!$C:$C,$B$47,CUBE!$D:$D,$B50)</f>
        <v>0</v>
      </c>
      <c r="P50" s="44">
        <f>SUMIFS(CUBE!$E:$E,CUBE!$A:$A,$B$6,CUBE!$B:$B,P$8,CUBE!$C:$C,$B$47,CUBE!$D:$D,$B50)</f>
        <v>0</v>
      </c>
      <c r="Q50" s="44">
        <f>SUMIFS(CUBE!$E:$E,CUBE!$A:$A,$B$6,CUBE!$B:$B,Q$8,CUBE!$C:$C,$B$47,CUBE!$D:$D,$B50)</f>
        <v>0</v>
      </c>
      <c r="R50" s="44">
        <f>SUMIFS(CUBE!$E:$E,CUBE!$A:$A,$B$6,CUBE!$B:$B,R$8,CUBE!$C:$C,$B$47,CUBE!$D:$D,$B50)</f>
        <v>0</v>
      </c>
      <c r="S50" s="14"/>
      <c r="T50" s="45">
        <f t="shared" si="86"/>
        <v>0.007803241346</v>
      </c>
      <c r="U50" s="45">
        <f t="shared" ref="U50:AF50" si="90">IFERROR(G50/G$19,"-")</f>
        <v>0.01182649242</v>
      </c>
      <c r="V50" s="45">
        <f t="shared" si="90"/>
        <v>0.03625158323</v>
      </c>
      <c r="W50" s="45">
        <f t="shared" si="90"/>
        <v>0.01733824605</v>
      </c>
      <c r="X50" s="45">
        <f t="shared" si="90"/>
        <v>0.02532270523</v>
      </c>
      <c r="Y50" s="45">
        <f t="shared" si="90"/>
        <v>0.03247917892</v>
      </c>
      <c r="Z50" s="45">
        <f t="shared" si="90"/>
        <v>0.03509080821</v>
      </c>
      <c r="AA50" s="45">
        <f t="shared" si="90"/>
        <v>0.03303059704</v>
      </c>
      <c r="AB50" s="45" t="str">
        <f t="shared" si="90"/>
        <v>-</v>
      </c>
      <c r="AC50" s="45" t="str">
        <f t="shared" si="90"/>
        <v>-</v>
      </c>
      <c r="AD50" s="45" t="str">
        <f t="shared" si="90"/>
        <v>-</v>
      </c>
      <c r="AE50" s="45" t="str">
        <f t="shared" si="90"/>
        <v>-</v>
      </c>
      <c r="AF50" s="45" t="str">
        <f t="shared" si="90"/>
        <v>-</v>
      </c>
      <c r="AG50" s="14"/>
      <c r="AH50" s="45">
        <f t="shared" si="88"/>
        <v>0.007062620538</v>
      </c>
      <c r="AI50" s="45">
        <f t="shared" ref="AI50:AT50" si="91">IFERROR(($D50-U50)*ln($D50/U50),"-")</f>
        <v>0.001827596135</v>
      </c>
      <c r="AJ50" s="45">
        <f t="shared" si="91"/>
        <v>0.01472078029</v>
      </c>
      <c r="AK50" s="45">
        <f t="shared" si="91"/>
        <v>0.000009965959404</v>
      </c>
      <c r="AL50" s="45">
        <f t="shared" si="91"/>
        <v>0.00338346479</v>
      </c>
      <c r="AM50" s="45">
        <f t="shared" si="91"/>
        <v>0.0101382394</v>
      </c>
      <c r="AN50" s="45">
        <f t="shared" si="91"/>
        <v>0.01324544886</v>
      </c>
      <c r="AO50" s="45">
        <f t="shared" si="91"/>
        <v>0.01076879401</v>
      </c>
      <c r="AP50" s="45" t="str">
        <f t="shared" si="91"/>
        <v>-</v>
      </c>
      <c r="AQ50" s="45" t="str">
        <f t="shared" si="91"/>
        <v>-</v>
      </c>
      <c r="AR50" s="45" t="str">
        <f t="shared" si="91"/>
        <v>-</v>
      </c>
      <c r="AS50" s="45" t="str">
        <f t="shared" si="91"/>
        <v>-</v>
      </c>
      <c r="AT50" s="45" t="str">
        <f t="shared" si="91"/>
        <v>-</v>
      </c>
    </row>
    <row r="51">
      <c r="A51" s="14"/>
      <c r="B51" s="43" t="s">
        <v>619</v>
      </c>
      <c r="C51" s="46">
        <f>SUMIFS(CUBE!$E:$E,CUBE!$A:$A,$B$6,CUBE!$B:$B,C$8,CUBE!$C:$C,$B$47,CUBE!$D:$D,$B51)</f>
        <v>1753</v>
      </c>
      <c r="D51" s="47">
        <f t="shared" si="85"/>
        <v>0.03367721361</v>
      </c>
      <c r="E51" s="14"/>
      <c r="F51" s="46">
        <f>SUMIFS(CUBE!$E:$E,CUBE!$A:$A,$B$6,CUBE!$B:$B,F$8,CUBE!$C:$C,$B$47,CUBE!$D:$D,$B51)</f>
        <v>1006</v>
      </c>
      <c r="G51" s="46">
        <f>SUMIFS(CUBE!$E:$E,CUBE!$A:$A,$B$6,CUBE!$B:$B,G$8,CUBE!$C:$C,$B$47,CUBE!$D:$D,$B51)</f>
        <v>24333</v>
      </c>
      <c r="H51" s="46">
        <f>SUMIFS(CUBE!$E:$E,CUBE!$A:$A,$B$6,CUBE!$B:$B,H$8,CUBE!$C:$C,$B$47,CUBE!$D:$D,$B51)</f>
        <v>228643</v>
      </c>
      <c r="I51" s="46">
        <f>SUMIFS(CUBE!$E:$E,CUBE!$A:$A,$B$6,CUBE!$B:$B,I$8,CUBE!$C:$C,$B$47,CUBE!$D:$D,$B51)</f>
        <v>61173</v>
      </c>
      <c r="J51" s="46">
        <f>SUMIFS(CUBE!$E:$E,CUBE!$A:$A,$B$6,CUBE!$B:$B,J$8,CUBE!$C:$C,$B$47,CUBE!$D:$D,$B51)</f>
        <v>69844</v>
      </c>
      <c r="K51" s="46">
        <f>SUMIFS(CUBE!$E:$E,CUBE!$A:$A,$B$6,CUBE!$B:$B,K$8,CUBE!$C:$C,$B$47,CUBE!$D:$D,$B51)</f>
        <v>54179</v>
      </c>
      <c r="L51" s="46">
        <f>SUMIFS(CUBE!$E:$E,CUBE!$A:$A,$B$6,CUBE!$B:$B,L$8,CUBE!$C:$C,$B$47,CUBE!$D:$D,$B51)</f>
        <v>68234</v>
      </c>
      <c r="M51" s="46">
        <f>SUMIFS(CUBE!$E:$E,CUBE!$A:$A,$B$6,CUBE!$B:$B,M$8,CUBE!$C:$C,$B$47,CUBE!$D:$D,$B51)</f>
        <v>59269</v>
      </c>
      <c r="N51" s="46">
        <f>SUMIFS(CUBE!$E:$E,CUBE!$A:$A,$B$6,CUBE!$B:$B,N$8,CUBE!$C:$C,$B$47,CUBE!$D:$D,$B51)</f>
        <v>0</v>
      </c>
      <c r="O51" s="46">
        <f>SUMIFS(CUBE!$E:$E,CUBE!$A:$A,$B$6,CUBE!$B:$B,O$8,CUBE!$C:$C,$B$47,CUBE!$D:$D,$B51)</f>
        <v>0</v>
      </c>
      <c r="P51" s="46">
        <f>SUMIFS(CUBE!$E:$E,CUBE!$A:$A,$B$6,CUBE!$B:$B,P$8,CUBE!$C:$C,$B$47,CUBE!$D:$D,$B51)</f>
        <v>0</v>
      </c>
      <c r="Q51" s="46">
        <f>SUMIFS(CUBE!$E:$E,CUBE!$A:$A,$B$6,CUBE!$B:$B,Q$8,CUBE!$C:$C,$B$47,CUBE!$D:$D,$B51)</f>
        <v>0</v>
      </c>
      <c r="R51" s="46">
        <f>SUMIFS(CUBE!$E:$E,CUBE!$A:$A,$B$6,CUBE!$B:$B,R$8,CUBE!$C:$C,$B$47,CUBE!$D:$D,$B51)</f>
        <v>0</v>
      </c>
      <c r="S51" s="14"/>
      <c r="T51" s="47">
        <f t="shared" si="86"/>
        <v>0.01548335462</v>
      </c>
      <c r="U51" s="47">
        <f t="shared" ref="U51:AF51" si="92">IFERROR(G51/G$19,"-")</f>
        <v>0.02330720337</v>
      </c>
      <c r="V51" s="47">
        <f t="shared" si="92"/>
        <v>0.09211066994</v>
      </c>
      <c r="W51" s="47">
        <f t="shared" si="92"/>
        <v>0.03996354657</v>
      </c>
      <c r="X51" s="47">
        <f t="shared" si="92"/>
        <v>0.06179731041</v>
      </c>
      <c r="Y51" s="47">
        <f t="shared" si="92"/>
        <v>0.07098097837</v>
      </c>
      <c r="Z51" s="47">
        <f t="shared" si="92"/>
        <v>0.07903829826</v>
      </c>
      <c r="AA51" s="47">
        <f t="shared" si="92"/>
        <v>0.07855900707</v>
      </c>
      <c r="AB51" s="47" t="str">
        <f t="shared" si="92"/>
        <v>-</v>
      </c>
      <c r="AC51" s="47" t="str">
        <f t="shared" si="92"/>
        <v>-</v>
      </c>
      <c r="AD51" s="47" t="str">
        <f t="shared" si="92"/>
        <v>-</v>
      </c>
      <c r="AE51" s="47" t="str">
        <f t="shared" si="92"/>
        <v>-</v>
      </c>
      <c r="AF51" s="47" t="str">
        <f t="shared" si="92"/>
        <v>-</v>
      </c>
      <c r="AG51" s="14"/>
      <c r="AH51" s="47">
        <f t="shared" si="88"/>
        <v>0.01413764552</v>
      </c>
      <c r="AI51" s="47">
        <f t="shared" ref="AI51:AT51" si="93">IFERROR(($D51-U51)*ln($D51/U51),"-")</f>
        <v>0.00381677544</v>
      </c>
      <c r="AJ51" s="47">
        <f t="shared" si="93"/>
        <v>0.05879395181</v>
      </c>
      <c r="AK51" s="47">
        <f t="shared" si="93"/>
        <v>0.0010758823</v>
      </c>
      <c r="AL51" s="47">
        <f t="shared" si="93"/>
        <v>0.01706997824</v>
      </c>
      <c r="AM51" s="47">
        <f t="shared" si="93"/>
        <v>0.02781333173</v>
      </c>
      <c r="AN51" s="47">
        <f t="shared" si="93"/>
        <v>0.03869804339</v>
      </c>
      <c r="AO51" s="47">
        <f t="shared" si="93"/>
        <v>0.03801616134</v>
      </c>
      <c r="AP51" s="47" t="str">
        <f t="shared" si="93"/>
        <v>-</v>
      </c>
      <c r="AQ51" s="47" t="str">
        <f t="shared" si="93"/>
        <v>-</v>
      </c>
      <c r="AR51" s="47" t="str">
        <f t="shared" si="93"/>
        <v>-</v>
      </c>
      <c r="AS51" s="47" t="str">
        <f t="shared" si="93"/>
        <v>-</v>
      </c>
      <c r="AT51" s="47" t="str">
        <f t="shared" si="93"/>
        <v>-</v>
      </c>
    </row>
    <row r="52">
      <c r="A52" s="14"/>
      <c r="B52" s="43" t="s">
        <v>606</v>
      </c>
      <c r="C52" s="44">
        <f>SUMIFS(CUBE!$E:$E,CUBE!$A:$A,$B$6,CUBE!$B:$B,C$8,CUBE!$C:$C,$B$47,CUBE!$D:$D,$B52)</f>
        <v>12870</v>
      </c>
      <c r="D52" s="45">
        <f t="shared" si="85"/>
        <v>0.2472479972</v>
      </c>
      <c r="E52" s="14"/>
      <c r="F52" s="44">
        <f>SUMIFS(CUBE!$E:$E,CUBE!$A:$A,$B$6,CUBE!$B:$B,F$8,CUBE!$C:$C,$B$47,CUBE!$D:$D,$B52)</f>
        <v>42607</v>
      </c>
      <c r="G52" s="44">
        <f>SUMIFS(CUBE!$E:$E,CUBE!$A:$A,$B$6,CUBE!$B:$B,G$8,CUBE!$C:$C,$B$47,CUBE!$D:$D,$B52)</f>
        <v>202770</v>
      </c>
      <c r="H52" s="44">
        <f>SUMIFS(CUBE!$E:$E,CUBE!$A:$A,$B$6,CUBE!$B:$B,H$8,CUBE!$C:$C,$B$47,CUBE!$D:$D,$B52)</f>
        <v>419226</v>
      </c>
      <c r="I52" s="44">
        <f>SUMIFS(CUBE!$E:$E,CUBE!$A:$A,$B$6,CUBE!$B:$B,I$8,CUBE!$C:$C,$B$47,CUBE!$D:$D,$B52)</f>
        <v>453972</v>
      </c>
      <c r="J52" s="44">
        <f>SUMIFS(CUBE!$E:$E,CUBE!$A:$A,$B$6,CUBE!$B:$B,J$8,CUBE!$C:$C,$B$47,CUBE!$D:$D,$B52)</f>
        <v>313709</v>
      </c>
      <c r="K52" s="44">
        <f>SUMIFS(CUBE!$E:$E,CUBE!$A:$A,$B$6,CUBE!$B:$B,K$8,CUBE!$C:$C,$B$47,CUBE!$D:$D,$B52)</f>
        <v>151500</v>
      </c>
      <c r="L52" s="44">
        <f>SUMIFS(CUBE!$E:$E,CUBE!$A:$A,$B$6,CUBE!$B:$B,L$8,CUBE!$C:$C,$B$47,CUBE!$D:$D,$B52)</f>
        <v>156168</v>
      </c>
      <c r="M52" s="44">
        <f>SUMIFS(CUBE!$E:$E,CUBE!$A:$A,$B$6,CUBE!$B:$B,M$8,CUBE!$C:$C,$B$47,CUBE!$D:$D,$B52)</f>
        <v>130361</v>
      </c>
      <c r="N52" s="44">
        <f>SUMIFS(CUBE!$E:$E,CUBE!$A:$A,$B$6,CUBE!$B:$B,N$8,CUBE!$C:$C,$B$47,CUBE!$D:$D,$B52)</f>
        <v>0</v>
      </c>
      <c r="O52" s="44">
        <f>SUMIFS(CUBE!$E:$E,CUBE!$A:$A,$B$6,CUBE!$B:$B,O$8,CUBE!$C:$C,$B$47,CUBE!$D:$D,$B52)</f>
        <v>0</v>
      </c>
      <c r="P52" s="44">
        <f>SUMIFS(CUBE!$E:$E,CUBE!$A:$A,$B$6,CUBE!$B:$B,P$8,CUBE!$C:$C,$B$47,CUBE!$D:$D,$B52)</f>
        <v>0</v>
      </c>
      <c r="Q52" s="44">
        <f>SUMIFS(CUBE!$E:$E,CUBE!$A:$A,$B$6,CUBE!$B:$B,Q$8,CUBE!$C:$C,$B$47,CUBE!$D:$D,$B52)</f>
        <v>0</v>
      </c>
      <c r="R52" s="44">
        <f>SUMIFS(CUBE!$E:$E,CUBE!$A:$A,$B$6,CUBE!$B:$B,R$8,CUBE!$C:$C,$B$47,CUBE!$D:$D,$B52)</f>
        <v>0</v>
      </c>
      <c r="S52" s="14"/>
      <c r="T52" s="45">
        <f t="shared" si="86"/>
        <v>0.6557647023</v>
      </c>
      <c r="U52" s="45">
        <f t="shared" ref="U52:AF52" si="94">IFERROR(G52/G$19,"-")</f>
        <v>0.1942219055</v>
      </c>
      <c r="V52" s="45">
        <f t="shared" si="94"/>
        <v>0.168888563</v>
      </c>
      <c r="W52" s="45">
        <f t="shared" si="94"/>
        <v>0.2965741612</v>
      </c>
      <c r="X52" s="45">
        <f t="shared" si="94"/>
        <v>0.2775667552</v>
      </c>
      <c r="Y52" s="45">
        <f t="shared" si="94"/>
        <v>0.1984831433</v>
      </c>
      <c r="Z52" s="45">
        <f t="shared" si="94"/>
        <v>0.1808959311</v>
      </c>
      <c r="AA52" s="45">
        <f t="shared" si="94"/>
        <v>0.1727889912</v>
      </c>
      <c r="AB52" s="45" t="str">
        <f t="shared" si="94"/>
        <v>-</v>
      </c>
      <c r="AC52" s="45" t="str">
        <f t="shared" si="94"/>
        <v>-</v>
      </c>
      <c r="AD52" s="45" t="str">
        <f t="shared" si="94"/>
        <v>-</v>
      </c>
      <c r="AE52" s="45" t="str">
        <f t="shared" si="94"/>
        <v>-</v>
      </c>
      <c r="AF52" s="45" t="str">
        <f t="shared" si="94"/>
        <v>-</v>
      </c>
      <c r="AG52" s="14"/>
      <c r="AH52" s="45">
        <f t="shared" si="88"/>
        <v>0.3984713482</v>
      </c>
      <c r="AI52" s="45">
        <f t="shared" ref="AI52:AT52" si="95">IFERROR(($D52-U52)*ln($D52/U52),"-")</f>
        <v>0.01279999597</v>
      </c>
      <c r="AJ52" s="45">
        <f t="shared" si="95"/>
        <v>0.02986691488</v>
      </c>
      <c r="AK52" s="45">
        <f t="shared" si="95"/>
        <v>0.008972697501</v>
      </c>
      <c r="AL52" s="45">
        <f t="shared" si="95"/>
        <v>0.003506958409</v>
      </c>
      <c r="AM52" s="45">
        <f t="shared" si="95"/>
        <v>0.0107130383</v>
      </c>
      <c r="AN52" s="45">
        <f t="shared" si="95"/>
        <v>0.02073302817</v>
      </c>
      <c r="AO52" s="45">
        <f t="shared" si="95"/>
        <v>0.02668020496</v>
      </c>
      <c r="AP52" s="45" t="str">
        <f t="shared" si="95"/>
        <v>-</v>
      </c>
      <c r="AQ52" s="45" t="str">
        <f t="shared" si="95"/>
        <v>-</v>
      </c>
      <c r="AR52" s="45" t="str">
        <f t="shared" si="95"/>
        <v>-</v>
      </c>
      <c r="AS52" s="45" t="str">
        <f t="shared" si="95"/>
        <v>-</v>
      </c>
      <c r="AT52" s="45" t="str">
        <f t="shared" si="95"/>
        <v>-</v>
      </c>
    </row>
    <row r="53">
      <c r="A53" s="14"/>
      <c r="B53" s="43" t="s">
        <v>613</v>
      </c>
      <c r="C53" s="46">
        <f>SUMIFS(CUBE!$E:$E,CUBE!$A:$A,$B$6,CUBE!$B:$B,C$8,CUBE!$C:$C,$B$47,CUBE!$D:$D,$B53)</f>
        <v>15232</v>
      </c>
      <c r="D53" s="47">
        <f t="shared" si="85"/>
        <v>0.2926248247</v>
      </c>
      <c r="E53" s="14"/>
      <c r="F53" s="46">
        <f>SUMIFS(CUBE!$E:$E,CUBE!$A:$A,$B$6,CUBE!$B:$B,F$8,CUBE!$C:$C,$B$47,CUBE!$D:$D,$B53)</f>
        <v>8853</v>
      </c>
      <c r="G53" s="46">
        <f>SUMIFS(CUBE!$E:$E,CUBE!$A:$A,$B$6,CUBE!$B:$B,G$8,CUBE!$C:$C,$B$47,CUBE!$D:$D,$B53)</f>
        <v>590000</v>
      </c>
      <c r="H53" s="46">
        <f>SUMIFS(CUBE!$E:$E,CUBE!$A:$A,$B$6,CUBE!$B:$B,H$8,CUBE!$C:$C,$B$47,CUBE!$D:$D,$B53)</f>
        <v>348191</v>
      </c>
      <c r="I53" s="46">
        <f>SUMIFS(CUBE!$E:$E,CUBE!$A:$A,$B$6,CUBE!$B:$B,I$8,CUBE!$C:$C,$B$47,CUBE!$D:$D,$B53)</f>
        <v>341929</v>
      </c>
      <c r="J53" s="46">
        <f>SUMIFS(CUBE!$E:$E,CUBE!$A:$A,$B$6,CUBE!$B:$B,J$8,CUBE!$C:$C,$B$47,CUBE!$D:$D,$B53)</f>
        <v>256046</v>
      </c>
      <c r="K53" s="46">
        <f>SUMIFS(CUBE!$E:$E,CUBE!$A:$A,$B$6,CUBE!$B:$B,K$8,CUBE!$C:$C,$B$47,CUBE!$D:$D,$B53)</f>
        <v>170010</v>
      </c>
      <c r="L53" s="46">
        <f>SUMIFS(CUBE!$E:$E,CUBE!$A:$A,$B$6,CUBE!$B:$B,L$8,CUBE!$C:$C,$B$47,CUBE!$D:$D,$B53)</f>
        <v>187856</v>
      </c>
      <c r="M53" s="46">
        <f>SUMIFS(CUBE!$E:$E,CUBE!$A:$A,$B$6,CUBE!$B:$B,M$8,CUBE!$C:$C,$B$47,CUBE!$D:$D,$B53)</f>
        <v>148568</v>
      </c>
      <c r="N53" s="46">
        <f>SUMIFS(CUBE!$E:$E,CUBE!$A:$A,$B$6,CUBE!$B:$B,N$8,CUBE!$C:$C,$B$47,CUBE!$D:$D,$B53)</f>
        <v>0</v>
      </c>
      <c r="O53" s="46">
        <f>SUMIFS(CUBE!$E:$E,CUBE!$A:$A,$B$6,CUBE!$B:$B,O$8,CUBE!$C:$C,$B$47,CUBE!$D:$D,$B53)</f>
        <v>0</v>
      </c>
      <c r="P53" s="46">
        <f>SUMIFS(CUBE!$E:$E,CUBE!$A:$A,$B$6,CUBE!$B:$B,P$8,CUBE!$C:$C,$B$47,CUBE!$D:$D,$B53)</f>
        <v>0</v>
      </c>
      <c r="Q53" s="46">
        <f>SUMIFS(CUBE!$E:$E,CUBE!$A:$A,$B$6,CUBE!$B:$B,Q$8,CUBE!$C:$C,$B$47,CUBE!$D:$D,$B53)</f>
        <v>0</v>
      </c>
      <c r="R53" s="46">
        <f>SUMIFS(CUBE!$E:$E,CUBE!$A:$A,$B$6,CUBE!$B:$B,R$8,CUBE!$C:$C,$B$47,CUBE!$D:$D,$B53)</f>
        <v>0</v>
      </c>
      <c r="S53" s="14"/>
      <c r="T53" s="47">
        <f t="shared" si="86"/>
        <v>0.1362565989</v>
      </c>
      <c r="U53" s="47">
        <f t="shared" ref="U53:AF53" si="96">IFERROR(G53/G$19,"-")</f>
        <v>0.5651276039</v>
      </c>
      <c r="V53" s="47">
        <f t="shared" si="96"/>
        <v>0.1402715424</v>
      </c>
      <c r="W53" s="47">
        <f t="shared" si="96"/>
        <v>0.2233778875</v>
      </c>
      <c r="X53" s="47">
        <f t="shared" si="96"/>
        <v>0.2265470784</v>
      </c>
      <c r="Y53" s="47">
        <f t="shared" si="96"/>
        <v>0.2227334601</v>
      </c>
      <c r="Z53" s="47">
        <f t="shared" si="96"/>
        <v>0.2176014679</v>
      </c>
      <c r="AA53" s="47">
        <f t="shared" si="96"/>
        <v>0.1969217392</v>
      </c>
      <c r="AB53" s="47" t="str">
        <f t="shared" si="96"/>
        <v>-</v>
      </c>
      <c r="AC53" s="47" t="str">
        <f t="shared" si="96"/>
        <v>-</v>
      </c>
      <c r="AD53" s="47" t="str">
        <f t="shared" si="96"/>
        <v>-</v>
      </c>
      <c r="AE53" s="47" t="str">
        <f t="shared" si="96"/>
        <v>-</v>
      </c>
      <c r="AF53" s="47" t="str">
        <f t="shared" si="96"/>
        <v>-</v>
      </c>
      <c r="AG53" s="14"/>
      <c r="AH53" s="47">
        <f t="shared" si="88"/>
        <v>0.119520282</v>
      </c>
      <c r="AI53" s="47">
        <f t="shared" ref="AI53:AT53" si="97">IFERROR(($D53-U53)*ln($D53/U53),"-")</f>
        <v>0.1793504909</v>
      </c>
      <c r="AJ53" s="47">
        <f t="shared" si="97"/>
        <v>0.1120270739</v>
      </c>
      <c r="AK53" s="47">
        <f t="shared" si="97"/>
        <v>0.01869850299</v>
      </c>
      <c r="AL53" s="47">
        <f t="shared" si="97"/>
        <v>0.0169118427</v>
      </c>
      <c r="AM53" s="47">
        <f t="shared" si="97"/>
        <v>0.01907443788</v>
      </c>
      <c r="AN53" s="47">
        <f t="shared" si="97"/>
        <v>0.02222387387</v>
      </c>
      <c r="AO53" s="47">
        <f t="shared" si="97"/>
        <v>0.03790655085</v>
      </c>
      <c r="AP53" s="47" t="str">
        <f t="shared" si="97"/>
        <v>-</v>
      </c>
      <c r="AQ53" s="47" t="str">
        <f t="shared" si="97"/>
        <v>-</v>
      </c>
      <c r="AR53" s="47" t="str">
        <f t="shared" si="97"/>
        <v>-</v>
      </c>
      <c r="AS53" s="47" t="str">
        <f t="shared" si="97"/>
        <v>-</v>
      </c>
      <c r="AT53" s="47" t="str">
        <f t="shared" si="97"/>
        <v>-</v>
      </c>
    </row>
    <row r="54">
      <c r="A54" s="14"/>
      <c r="B54" s="43" t="s">
        <v>620</v>
      </c>
      <c r="C54" s="44">
        <f>SUMIFS(CUBE!$E:$E,CUBE!$A:$A,$B$6,CUBE!$B:$B,C$8,CUBE!$C:$C,$B$47,CUBE!$D:$D,$B54)</f>
        <v>7639</v>
      </c>
      <c r="D54" s="45">
        <f t="shared" si="85"/>
        <v>0.1467542697</v>
      </c>
      <c r="E54" s="14"/>
      <c r="F54" s="44">
        <f>SUMIFS(CUBE!$E:$E,CUBE!$A:$A,$B$6,CUBE!$B:$B,F$8,CUBE!$C:$C,$B$47,CUBE!$D:$D,$B54)</f>
        <v>4099</v>
      </c>
      <c r="G54" s="44">
        <f>SUMIFS(CUBE!$E:$E,CUBE!$A:$A,$B$6,CUBE!$B:$B,G$8,CUBE!$C:$C,$B$47,CUBE!$D:$D,$B54)</f>
        <v>81955</v>
      </c>
      <c r="H54" s="44">
        <f>SUMIFS(CUBE!$E:$E,CUBE!$A:$A,$B$6,CUBE!$B:$B,H$8,CUBE!$C:$C,$B$47,CUBE!$D:$D,$B54)</f>
        <v>332578</v>
      </c>
      <c r="I54" s="44">
        <f>SUMIFS(CUBE!$E:$E,CUBE!$A:$A,$B$6,CUBE!$B:$B,I$8,CUBE!$C:$C,$B$47,CUBE!$D:$D,$B54)</f>
        <v>358478</v>
      </c>
      <c r="J54" s="44">
        <f>SUMIFS(CUBE!$E:$E,CUBE!$A:$A,$B$6,CUBE!$B:$B,J$8,CUBE!$C:$C,$B$47,CUBE!$D:$D,$B54)</f>
        <v>137316</v>
      </c>
      <c r="K54" s="44">
        <f>SUMIFS(CUBE!$E:$E,CUBE!$A:$A,$B$6,CUBE!$B:$B,K$8,CUBE!$C:$C,$B$47,CUBE!$D:$D,$B54)</f>
        <v>95668</v>
      </c>
      <c r="L54" s="44">
        <f>SUMIFS(CUBE!$E:$E,CUBE!$A:$A,$B$6,CUBE!$B:$B,L$8,CUBE!$C:$C,$B$47,CUBE!$D:$D,$B54)</f>
        <v>105760</v>
      </c>
      <c r="M54" s="44">
        <f>SUMIFS(CUBE!$E:$E,CUBE!$A:$A,$B$6,CUBE!$B:$B,M$8,CUBE!$C:$C,$B$47,CUBE!$D:$D,$B54)</f>
        <v>109989</v>
      </c>
      <c r="N54" s="44">
        <f>SUMIFS(CUBE!$E:$E,CUBE!$A:$A,$B$6,CUBE!$B:$B,N$8,CUBE!$C:$C,$B$47,CUBE!$D:$D,$B54)</f>
        <v>0</v>
      </c>
      <c r="O54" s="44">
        <f>SUMIFS(CUBE!$E:$E,CUBE!$A:$A,$B$6,CUBE!$B:$B,O$8,CUBE!$C:$C,$B$47,CUBE!$D:$D,$B54)</f>
        <v>0</v>
      </c>
      <c r="P54" s="44">
        <f>SUMIFS(CUBE!$E:$E,CUBE!$A:$A,$B$6,CUBE!$B:$B,P$8,CUBE!$C:$C,$B$47,CUBE!$D:$D,$B54)</f>
        <v>0</v>
      </c>
      <c r="Q54" s="44">
        <f>SUMIFS(CUBE!$E:$E,CUBE!$A:$A,$B$6,CUBE!$B:$B,Q$8,CUBE!$C:$C,$B$47,CUBE!$D:$D,$B54)</f>
        <v>0</v>
      </c>
      <c r="R54" s="44">
        <f>SUMIFS(CUBE!$E:$E,CUBE!$A:$A,$B$6,CUBE!$B:$B,R$8,CUBE!$C:$C,$B$47,CUBE!$D:$D,$B54)</f>
        <v>0</v>
      </c>
      <c r="S54" s="14"/>
      <c r="T54" s="45">
        <f t="shared" si="86"/>
        <v>0.06308774414</v>
      </c>
      <c r="U54" s="45">
        <f t="shared" ref="U54:AF54" si="98">IFERROR(G54/G$19,"-")</f>
        <v>0.07850005555</v>
      </c>
      <c r="V54" s="45">
        <f t="shared" si="98"/>
        <v>0.1339817199</v>
      </c>
      <c r="W54" s="45">
        <f t="shared" si="98"/>
        <v>0.2341891398</v>
      </c>
      <c r="X54" s="45">
        <f t="shared" si="98"/>
        <v>0.1214958977</v>
      </c>
      <c r="Y54" s="45">
        <f t="shared" si="98"/>
        <v>0.125336537</v>
      </c>
      <c r="Z54" s="45">
        <f t="shared" si="98"/>
        <v>0.1225062348</v>
      </c>
      <c r="AA54" s="45">
        <f t="shared" si="98"/>
        <v>0.1457866107</v>
      </c>
      <c r="AB54" s="45" t="str">
        <f t="shared" si="98"/>
        <v>-</v>
      </c>
      <c r="AC54" s="45" t="str">
        <f t="shared" si="98"/>
        <v>-</v>
      </c>
      <c r="AD54" s="45" t="str">
        <f t="shared" si="98"/>
        <v>-</v>
      </c>
      <c r="AE54" s="45" t="str">
        <f t="shared" si="98"/>
        <v>-</v>
      </c>
      <c r="AF54" s="45" t="str">
        <f t="shared" si="98"/>
        <v>-</v>
      </c>
      <c r="AG54" s="14"/>
      <c r="AH54" s="45">
        <f t="shared" si="88"/>
        <v>0.07063404452</v>
      </c>
      <c r="AI54" s="45">
        <f t="shared" ref="AI54:AT54" si="99">IFERROR(($D54-U54)*ln($D54/U54),"-")</f>
        <v>0.04270394668</v>
      </c>
      <c r="AJ54" s="45">
        <f t="shared" si="99"/>
        <v>0.001163019606</v>
      </c>
      <c r="AK54" s="45">
        <f t="shared" si="99"/>
        <v>0.0408643937</v>
      </c>
      <c r="AL54" s="45">
        <f t="shared" si="99"/>
        <v>0.00477077744</v>
      </c>
      <c r="AM54" s="45">
        <f t="shared" si="99"/>
        <v>0.0033788002</v>
      </c>
      <c r="AN54" s="45">
        <f t="shared" si="99"/>
        <v>0.004379137599</v>
      </c>
      <c r="AO54" s="45">
        <f t="shared" si="99"/>
        <v>0.00000640161723</v>
      </c>
      <c r="AP54" s="45" t="str">
        <f t="shared" si="99"/>
        <v>-</v>
      </c>
      <c r="AQ54" s="45" t="str">
        <f t="shared" si="99"/>
        <v>-</v>
      </c>
      <c r="AR54" s="45" t="str">
        <f t="shared" si="99"/>
        <v>-</v>
      </c>
      <c r="AS54" s="45" t="str">
        <f t="shared" si="99"/>
        <v>-</v>
      </c>
      <c r="AT54" s="45" t="str">
        <f t="shared" si="99"/>
        <v>-</v>
      </c>
    </row>
    <row r="55">
      <c r="A55" s="14"/>
      <c r="B55" s="43" t="s">
        <v>639</v>
      </c>
      <c r="C55" s="46">
        <f>SUMIFS(CUBE!$E:$E,CUBE!$A:$A,$B$6,CUBE!$B:$B,C$8,CUBE!$C:$C,$B$47,CUBE!$D:$D,$B55)</f>
        <v>122</v>
      </c>
      <c r="D55" s="47">
        <f t="shared" si="85"/>
        <v>0.002343765009</v>
      </c>
      <c r="E55" s="14"/>
      <c r="F55" s="46">
        <f>SUMIFS(CUBE!$E:$E,CUBE!$A:$A,$B$6,CUBE!$B:$B,F$8,CUBE!$C:$C,$B$47,CUBE!$D:$D,$B55)</f>
        <v>174</v>
      </c>
      <c r="G55" s="46">
        <f>SUMIFS(CUBE!$E:$E,CUBE!$A:$A,$B$6,CUBE!$B:$B,G$8,CUBE!$C:$C,$B$47,CUBE!$D:$D,$B55)</f>
        <v>1285</v>
      </c>
      <c r="H55" s="46">
        <f>SUMIFS(CUBE!$E:$E,CUBE!$A:$A,$B$6,CUBE!$B:$B,H$8,CUBE!$C:$C,$B$47,CUBE!$D:$D,$B55)</f>
        <v>2116</v>
      </c>
      <c r="I55" s="46">
        <f>SUMIFS(CUBE!$E:$E,CUBE!$A:$A,$B$6,CUBE!$B:$B,I$8,CUBE!$C:$C,$B$47,CUBE!$D:$D,$B55)</f>
        <v>13</v>
      </c>
      <c r="J55" s="46">
        <f>SUMIFS(CUBE!$E:$E,CUBE!$A:$A,$B$6,CUBE!$B:$B,J$8,CUBE!$C:$C,$B$47,CUBE!$D:$D,$B55)</f>
        <v>28</v>
      </c>
      <c r="K55" s="46">
        <f>SUMIFS(CUBE!$E:$E,CUBE!$A:$A,$B$6,CUBE!$B:$B,K$8,CUBE!$C:$C,$B$47,CUBE!$D:$D,$B55)</f>
        <v>11</v>
      </c>
      <c r="L55" s="46">
        <f>SUMIFS(CUBE!$E:$E,CUBE!$A:$A,$B$6,CUBE!$B:$B,L$8,CUBE!$C:$C,$B$47,CUBE!$D:$D,$B55)</f>
        <v>13</v>
      </c>
      <c r="M55" s="46">
        <f>SUMIFS(CUBE!$E:$E,CUBE!$A:$A,$B$6,CUBE!$B:$B,M$8,CUBE!$C:$C,$B$47,CUBE!$D:$D,$B55)</f>
        <v>14</v>
      </c>
      <c r="N55" s="46">
        <f>SUMIFS(CUBE!$E:$E,CUBE!$A:$A,$B$6,CUBE!$B:$B,N$8,CUBE!$C:$C,$B$47,CUBE!$D:$D,$B55)</f>
        <v>0</v>
      </c>
      <c r="O55" s="46">
        <f>SUMIFS(CUBE!$E:$E,CUBE!$A:$A,$B$6,CUBE!$B:$B,O$8,CUBE!$C:$C,$B$47,CUBE!$D:$D,$B55)</f>
        <v>0</v>
      </c>
      <c r="P55" s="46">
        <f>SUMIFS(CUBE!$E:$E,CUBE!$A:$A,$B$6,CUBE!$B:$B,P$8,CUBE!$C:$C,$B$47,CUBE!$D:$D,$B55)</f>
        <v>0</v>
      </c>
      <c r="Q55" s="46">
        <f>SUMIFS(CUBE!$E:$E,CUBE!$A:$A,$B$6,CUBE!$B:$B,Q$8,CUBE!$C:$C,$B$47,CUBE!$D:$D,$B55)</f>
        <v>0</v>
      </c>
      <c r="R55" s="46">
        <f>SUMIFS(CUBE!$E:$E,CUBE!$A:$A,$B$6,CUBE!$B:$B,R$8,CUBE!$C:$C,$B$47,CUBE!$D:$D,$B55)</f>
        <v>0</v>
      </c>
      <c r="S55" s="14"/>
      <c r="T55" s="47">
        <f t="shared" si="86"/>
        <v>0.002678035492</v>
      </c>
      <c r="U55" s="47">
        <f t="shared" ref="U55:AF55" si="100">IFERROR(G55/G$19,"-")</f>
        <v>0.001230828764</v>
      </c>
      <c r="V55" s="47">
        <f t="shared" si="100"/>
        <v>0.0008524476043</v>
      </c>
      <c r="W55" s="47">
        <f t="shared" si="100"/>
        <v>0.000008492735445</v>
      </c>
      <c r="X55" s="47">
        <f t="shared" si="100"/>
        <v>0.0000247741351</v>
      </c>
      <c r="Y55" s="47">
        <f t="shared" si="100"/>
        <v>0.00001441131734</v>
      </c>
      <c r="Z55" s="47">
        <f t="shared" si="100"/>
        <v>0.00001505844414</v>
      </c>
      <c r="AA55" s="47">
        <f t="shared" si="100"/>
        <v>0.00001855651519</v>
      </c>
      <c r="AB55" s="47" t="str">
        <f t="shared" si="100"/>
        <v>-</v>
      </c>
      <c r="AC55" s="47" t="str">
        <f t="shared" si="100"/>
        <v>-</v>
      </c>
      <c r="AD55" s="47" t="str">
        <f t="shared" si="100"/>
        <v>-</v>
      </c>
      <c r="AE55" s="47" t="str">
        <f t="shared" si="100"/>
        <v>-</v>
      </c>
      <c r="AF55" s="47" t="str">
        <f t="shared" si="100"/>
        <v>-</v>
      </c>
      <c r="AG55" s="14"/>
      <c r="AH55" s="47">
        <f t="shared" si="88"/>
        <v>0.00004456657396</v>
      </c>
      <c r="AI55" s="47">
        <f t="shared" ref="AI55:AT55" si="101">IFERROR(($D55-U55)*ln($D55/U55),"-")</f>
        <v>0.000716809826</v>
      </c>
      <c r="AJ55" s="47">
        <f t="shared" si="101"/>
        <v>0.001508321625</v>
      </c>
      <c r="AK55" s="47">
        <f t="shared" si="101"/>
        <v>0.01312493718</v>
      </c>
      <c r="AL55" s="47">
        <f t="shared" si="101"/>
        <v>0.0105507446</v>
      </c>
      <c r="AM55" s="47">
        <f t="shared" si="101"/>
        <v>0.01185990448</v>
      </c>
      <c r="AN55" s="47">
        <f t="shared" si="101"/>
        <v>0.01175432101</v>
      </c>
      <c r="AO55" s="47">
        <f t="shared" si="101"/>
        <v>0.01125096993</v>
      </c>
      <c r="AP55" s="47" t="str">
        <f t="shared" si="101"/>
        <v>-</v>
      </c>
      <c r="AQ55" s="47" t="str">
        <f t="shared" si="101"/>
        <v>-</v>
      </c>
      <c r="AR55" s="47" t="str">
        <f t="shared" si="101"/>
        <v>-</v>
      </c>
      <c r="AS55" s="47" t="str">
        <f t="shared" si="101"/>
        <v>-</v>
      </c>
      <c r="AT55" s="47" t="str">
        <f t="shared" si="101"/>
        <v>-</v>
      </c>
    </row>
    <row r="56">
      <c r="A56" s="14"/>
      <c r="B56" s="48" t="s">
        <v>657</v>
      </c>
      <c r="C56" s="49">
        <f>SUM(C48:C55)</f>
        <v>52053</v>
      </c>
      <c r="D56" s="50">
        <f t="shared" si="85"/>
        <v>1</v>
      </c>
      <c r="E56" s="14"/>
      <c r="F56" s="49">
        <f t="shared" ref="F56:R56" si="102">SUM(F48:F55)</f>
        <v>64973</v>
      </c>
      <c r="G56" s="49">
        <f t="shared" si="102"/>
        <v>1044012</v>
      </c>
      <c r="H56" s="49">
        <f t="shared" si="102"/>
        <v>2482264</v>
      </c>
      <c r="I56" s="49">
        <f t="shared" si="102"/>
        <v>1530720</v>
      </c>
      <c r="J56" s="49">
        <f t="shared" si="102"/>
        <v>1130211</v>
      </c>
      <c r="K56" s="49">
        <f t="shared" si="102"/>
        <v>763289</v>
      </c>
      <c r="L56" s="49">
        <f t="shared" si="102"/>
        <v>863303</v>
      </c>
      <c r="M56" s="49">
        <f t="shared" si="102"/>
        <v>754452</v>
      </c>
      <c r="N56" s="49">
        <f t="shared" si="102"/>
        <v>0</v>
      </c>
      <c r="O56" s="49">
        <f t="shared" si="102"/>
        <v>0</v>
      </c>
      <c r="P56" s="49">
        <f t="shared" si="102"/>
        <v>0</v>
      </c>
      <c r="Q56" s="49">
        <f t="shared" si="102"/>
        <v>0</v>
      </c>
      <c r="R56" s="49">
        <f t="shared" si="102"/>
        <v>0</v>
      </c>
      <c r="S56" s="14"/>
      <c r="T56" s="50">
        <f t="shared" si="86"/>
        <v>1</v>
      </c>
      <c r="U56" s="50">
        <f t="shared" ref="U56:AF56" si="103">IFERROR(G56/G$19,"-")</f>
        <v>1</v>
      </c>
      <c r="V56" s="50">
        <f t="shared" si="103"/>
        <v>1</v>
      </c>
      <c r="W56" s="50">
        <f t="shared" si="103"/>
        <v>1</v>
      </c>
      <c r="X56" s="50">
        <f t="shared" si="103"/>
        <v>1</v>
      </c>
      <c r="Y56" s="50">
        <f t="shared" si="103"/>
        <v>1</v>
      </c>
      <c r="Z56" s="50">
        <f t="shared" si="103"/>
        <v>1</v>
      </c>
      <c r="AA56" s="50">
        <f t="shared" si="103"/>
        <v>1</v>
      </c>
      <c r="AB56" s="50" t="str">
        <f t="shared" si="103"/>
        <v>-</v>
      </c>
      <c r="AC56" s="50" t="str">
        <f t="shared" si="103"/>
        <v>-</v>
      </c>
      <c r="AD56" s="50" t="str">
        <f t="shared" si="103"/>
        <v>-</v>
      </c>
      <c r="AE56" s="50" t="str">
        <f t="shared" si="103"/>
        <v>-</v>
      </c>
      <c r="AF56" s="50" t="str">
        <f t="shared" si="103"/>
        <v>-</v>
      </c>
      <c r="AG56" s="14"/>
      <c r="AH56" s="34">
        <f t="shared" ref="AH56:AT56" si="104">SUM(AH48:AH55)</f>
        <v>0.7207837393</v>
      </c>
      <c r="AI56" s="34">
        <f t="shared" si="104"/>
        <v>0.3396335558</v>
      </c>
      <c r="AJ56" s="34">
        <f t="shared" si="104"/>
        <v>0.3480698526</v>
      </c>
      <c r="AK56" s="34">
        <f t="shared" si="104"/>
        <v>0.107150813</v>
      </c>
      <c r="AL56" s="34">
        <f t="shared" si="104"/>
        <v>0.05989488074</v>
      </c>
      <c r="AM56" s="34">
        <f t="shared" si="104"/>
        <v>0.1120442159</v>
      </c>
      <c r="AN56" s="34">
        <f t="shared" si="104"/>
        <v>0.1488278508</v>
      </c>
      <c r="AO56" s="34">
        <f t="shared" si="104"/>
        <v>0.1681531807</v>
      </c>
      <c r="AP56" s="34">
        <f t="shared" si="104"/>
        <v>0</v>
      </c>
      <c r="AQ56" s="34">
        <f t="shared" si="104"/>
        <v>0</v>
      </c>
      <c r="AR56" s="34">
        <f t="shared" si="104"/>
        <v>0</v>
      </c>
      <c r="AS56" s="34">
        <f t="shared" si="104"/>
        <v>0</v>
      </c>
      <c r="AT56" s="34">
        <f t="shared" si="104"/>
        <v>0</v>
      </c>
    </row>
    <row r="57" ht="15.75" customHeight="1">
      <c r="A57" s="14"/>
      <c r="B57" s="14"/>
      <c r="C57" s="14"/>
      <c r="D57" s="14"/>
      <c r="E57" s="14"/>
      <c r="F57" s="14" t="b">
        <f t="shared" ref="F57:R57" si="105">F56=F$19</f>
        <v>1</v>
      </c>
      <c r="G57" s="14" t="b">
        <f t="shared" si="105"/>
        <v>1</v>
      </c>
      <c r="H57" s="14" t="b">
        <f t="shared" si="105"/>
        <v>1</v>
      </c>
      <c r="I57" s="14" t="b">
        <f t="shared" si="105"/>
        <v>1</v>
      </c>
      <c r="J57" s="14" t="b">
        <f t="shared" si="105"/>
        <v>1</v>
      </c>
      <c r="K57" s="14" t="b">
        <f t="shared" si="105"/>
        <v>1</v>
      </c>
      <c r="L57" s="14" t="b">
        <f t="shared" si="105"/>
        <v>1</v>
      </c>
      <c r="M57" s="14" t="b">
        <f t="shared" si="105"/>
        <v>1</v>
      </c>
      <c r="N57" s="14" t="b">
        <f t="shared" si="105"/>
        <v>1</v>
      </c>
      <c r="O57" s="14" t="b">
        <f t="shared" si="105"/>
        <v>1</v>
      </c>
      <c r="P57" s="14" t="b">
        <f t="shared" si="105"/>
        <v>1</v>
      </c>
      <c r="Q57" s="14" t="b">
        <f t="shared" si="105"/>
        <v>1</v>
      </c>
      <c r="R57" s="14" t="b">
        <f t="shared" si="105"/>
        <v>1</v>
      </c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</row>
    <row r="58">
      <c r="A58" s="14"/>
      <c r="B58" s="14"/>
      <c r="C58" s="14"/>
      <c r="D58" s="14"/>
      <c r="E58" s="14"/>
      <c r="F58" s="40" t="s">
        <v>655</v>
      </c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2"/>
      <c r="S58" s="14"/>
      <c r="T58" s="40" t="s">
        <v>656</v>
      </c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2"/>
      <c r="AG58" s="14"/>
      <c r="AH58" s="40" t="s">
        <v>657</v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2"/>
    </row>
    <row r="59" ht="15.75" customHeight="1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</row>
    <row r="60" ht="15.75" customHeight="1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</row>
    <row r="61" ht="15.75" customHeight="1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</row>
    <row r="62" ht="15.75" customHeight="1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</row>
    <row r="63" ht="15.75" customHeight="1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</row>
    <row r="64" ht="15.75" customHeight="1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</row>
    <row r="65" ht="15.75" customHeight="1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</row>
    <row r="66" ht="15.75" customHeight="1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</row>
    <row r="67" ht="15.75" customHeight="1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</row>
    <row r="68" ht="15.75" customHeight="1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</row>
    <row r="69" ht="15.75" customHeight="1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</row>
    <row r="70" ht="15.75" customHeight="1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</row>
    <row r="71" ht="15.75" customHeight="1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</row>
    <row r="72" ht="15.75" customHeight="1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</row>
    <row r="73" ht="15.75" customHeight="1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</row>
    <row r="74" ht="15.75" customHeight="1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</row>
    <row r="75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</row>
    <row r="76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</row>
    <row r="77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</row>
    <row r="78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</row>
    <row r="7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</row>
    <row r="80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</row>
    <row r="81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</row>
    <row r="82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</row>
    <row r="83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</row>
    <row r="84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</row>
    <row r="85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</row>
    <row r="86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</row>
    <row r="87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</row>
    <row r="88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</row>
    <row r="8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</row>
    <row r="90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</row>
    <row r="91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</row>
    <row r="92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</row>
    <row r="93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</row>
    <row r="94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</row>
    <row r="95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</row>
    <row r="96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</row>
    <row r="97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</row>
    <row r="98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</row>
    <row r="9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</row>
    <row r="100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</row>
    <row r="101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</row>
    <row r="102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</row>
    <row r="103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</row>
    <row r="104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</row>
    <row r="105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</row>
    <row r="106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</row>
    <row r="107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</row>
    <row r="108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</row>
    <row r="10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</row>
    <row r="110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</row>
    <row r="111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</row>
    <row r="112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</row>
    <row r="113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</row>
    <row r="114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</row>
    <row r="115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</row>
    <row r="116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</row>
    <row r="117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</row>
    <row r="118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</row>
    <row r="11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</row>
    <row r="120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</row>
    <row r="121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</row>
    <row r="122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</row>
    <row r="123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</row>
    <row r="124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</row>
    <row r="125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</row>
    <row r="126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</row>
    <row r="127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</row>
    <row r="128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</row>
    <row r="1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</row>
    <row r="130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</row>
    <row r="131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</row>
    <row r="132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</row>
    <row r="133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</row>
    <row r="134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</row>
    <row r="135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</row>
    <row r="136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</row>
    <row r="137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</row>
    <row r="138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</row>
    <row r="13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</row>
    <row r="140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</row>
    <row r="141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</row>
    <row r="142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</row>
    <row r="143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</row>
    <row r="144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</row>
    <row r="145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</row>
    <row r="146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</row>
    <row r="147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</row>
    <row r="148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</row>
    <row r="14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</row>
    <row r="150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</row>
    <row r="151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</row>
    <row r="152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</row>
    <row r="153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</row>
    <row r="154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</row>
    <row r="155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</row>
    <row r="15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</row>
    <row r="1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</row>
    <row r="158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</row>
    <row r="15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</row>
    <row r="160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</row>
    <row r="161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</row>
    <row r="16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</row>
    <row r="163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</row>
    <row r="164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</row>
    <row r="165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</row>
    <row r="16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</row>
    <row r="16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</row>
    <row r="168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</row>
    <row r="16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</row>
    <row r="170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</row>
    <row r="171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</row>
    <row r="17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</row>
    <row r="173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</row>
    <row r="174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</row>
    <row r="175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</row>
    <row r="17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</row>
    <row r="17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</row>
    <row r="178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</row>
    <row r="17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</row>
    <row r="180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</row>
    <row r="181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</row>
    <row r="18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</row>
    <row r="183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</row>
    <row r="184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</row>
    <row r="185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</row>
    <row r="18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</row>
    <row r="18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</row>
    <row r="188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</row>
    <row r="18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</row>
    <row r="190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</row>
    <row r="191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</row>
    <row r="19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</row>
    <row r="193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</row>
    <row r="194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</row>
    <row r="195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</row>
    <row r="19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</row>
    <row r="19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</row>
    <row r="198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</row>
    <row r="19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</row>
    <row r="200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</row>
    <row r="201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</row>
    <row r="20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</row>
    <row r="203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</row>
    <row r="204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</row>
    <row r="205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</row>
    <row r="20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</row>
    <row r="20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</row>
    <row r="208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</row>
    <row r="20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</row>
    <row r="210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</row>
    <row r="211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</row>
    <row r="21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</row>
    <row r="213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</row>
    <row r="214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</row>
    <row r="215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</row>
    <row r="21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</row>
    <row r="21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</row>
    <row r="218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</row>
    <row r="21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</row>
    <row r="220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</row>
    <row r="221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</row>
    <row r="22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</row>
    <row r="223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</row>
    <row r="224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</row>
    <row r="225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</row>
    <row r="2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</row>
    <row r="22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</row>
    <row r="228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</row>
    <row r="2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</row>
    <row r="230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</row>
    <row r="231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</row>
    <row r="23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</row>
    <row r="233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</row>
    <row r="234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</row>
    <row r="235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</row>
    <row r="23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</row>
    <row r="23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</row>
    <row r="238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</row>
    <row r="23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</row>
    <row r="240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</row>
    <row r="241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</row>
    <row r="24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</row>
    <row r="243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</row>
    <row r="244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</row>
    <row r="245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</row>
    <row r="24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</row>
    <row r="24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</row>
    <row r="248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</row>
    <row r="24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</row>
    <row r="250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</row>
    <row r="251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</row>
    <row r="2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</row>
    <row r="253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</row>
    <row r="254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</row>
    <row r="255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</row>
    <row r="25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</row>
    <row r="2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</row>
    <row r="258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</row>
    <row r="25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</row>
    <row r="260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</row>
    <row r="261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</row>
    <row r="26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</row>
    <row r="263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</row>
    <row r="264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</row>
    <row r="265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</row>
    <row r="26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</row>
    <row r="26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</row>
    <row r="268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</row>
    <row r="26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</row>
    <row r="270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</row>
    <row r="271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</row>
    <row r="27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</row>
    <row r="273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</row>
    <row r="274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</row>
    <row r="275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</row>
    <row r="27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</row>
    <row r="27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</row>
    <row r="278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</row>
    <row r="27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</row>
    <row r="280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</row>
    <row r="281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</row>
    <row r="28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</row>
    <row r="283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</row>
    <row r="284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</row>
    <row r="285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</row>
    <row r="28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</row>
    <row r="28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</row>
    <row r="288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</row>
    <row r="28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</row>
    <row r="290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</row>
    <row r="291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</row>
    <row r="29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</row>
    <row r="293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</row>
    <row r="294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</row>
    <row r="295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</row>
    <row r="29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</row>
    <row r="29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</row>
    <row r="298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</row>
    <row r="29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</row>
    <row r="300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</row>
    <row r="301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</row>
    <row r="30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</row>
    <row r="303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</row>
    <row r="304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</row>
    <row r="305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</row>
    <row r="30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</row>
    <row r="30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</row>
    <row r="308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</row>
    <row r="30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</row>
    <row r="310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</row>
    <row r="311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</row>
    <row r="31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</row>
    <row r="313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</row>
    <row r="314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</row>
    <row r="315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</row>
    <row r="31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</row>
    <row r="31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</row>
    <row r="318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</row>
    <row r="31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</row>
    <row r="320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</row>
    <row r="321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</row>
    <row r="32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</row>
    <row r="323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</row>
    <row r="324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</row>
    <row r="325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</row>
    <row r="3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</row>
    <row r="32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</row>
    <row r="328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</row>
    <row r="3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</row>
    <row r="330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</row>
    <row r="331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</row>
    <row r="33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</row>
    <row r="333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</row>
    <row r="334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</row>
    <row r="335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</row>
    <row r="33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</row>
    <row r="33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</row>
    <row r="338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</row>
    <row r="33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</row>
    <row r="340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</row>
    <row r="341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</row>
    <row r="34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</row>
    <row r="343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</row>
    <row r="344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</row>
    <row r="345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</row>
    <row r="34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</row>
    <row r="34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</row>
    <row r="348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</row>
    <row r="34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</row>
    <row r="350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</row>
    <row r="351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</row>
    <row r="3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</row>
    <row r="353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</row>
    <row r="354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</row>
    <row r="355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</row>
    <row r="35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</row>
    <row r="3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</row>
    <row r="358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</row>
    <row r="35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</row>
    <row r="360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</row>
    <row r="361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</row>
    <row r="36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</row>
    <row r="363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</row>
    <row r="364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</row>
    <row r="365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</row>
    <row r="36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</row>
    <row r="36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</row>
    <row r="368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</row>
    <row r="36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</row>
    <row r="370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</row>
    <row r="371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</row>
    <row r="37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</row>
    <row r="373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</row>
    <row r="374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</row>
    <row r="375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</row>
    <row r="37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</row>
    <row r="37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</row>
    <row r="378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</row>
    <row r="37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</row>
    <row r="380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</row>
    <row r="381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</row>
    <row r="38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</row>
    <row r="383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</row>
    <row r="384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</row>
    <row r="385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</row>
    <row r="38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</row>
    <row r="38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</row>
    <row r="388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</row>
    <row r="38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</row>
    <row r="390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</row>
    <row r="391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</row>
    <row r="39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</row>
    <row r="393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</row>
    <row r="394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</row>
    <row r="395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</row>
    <row r="39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</row>
    <row r="39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</row>
    <row r="398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</row>
    <row r="39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</row>
    <row r="400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</row>
    <row r="401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</row>
    <row r="40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</row>
    <row r="403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</row>
    <row r="404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</row>
    <row r="405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</row>
    <row r="40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</row>
    <row r="40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</row>
    <row r="408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</row>
    <row r="40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</row>
    <row r="410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</row>
    <row r="411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</row>
    <row r="41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</row>
    <row r="413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</row>
    <row r="414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</row>
    <row r="415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</row>
    <row r="41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</row>
    <row r="41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</row>
    <row r="418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</row>
    <row r="41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</row>
    <row r="420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</row>
    <row r="421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</row>
    <row r="42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</row>
    <row r="423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</row>
    <row r="424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</row>
    <row r="425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</row>
    <row r="4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</row>
    <row r="42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</row>
    <row r="428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</row>
    <row r="4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</row>
    <row r="430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</row>
    <row r="431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</row>
    <row r="43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</row>
    <row r="433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</row>
    <row r="434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</row>
    <row r="435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</row>
    <row r="43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</row>
    <row r="43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</row>
    <row r="438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</row>
    <row r="43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</row>
    <row r="440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</row>
    <row r="441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</row>
    <row r="44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</row>
    <row r="443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</row>
    <row r="444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</row>
    <row r="445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</row>
    <row r="44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</row>
    <row r="44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</row>
    <row r="448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</row>
    <row r="44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</row>
    <row r="450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</row>
    <row r="451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</row>
    <row r="4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</row>
    <row r="453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</row>
    <row r="454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</row>
    <row r="455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</row>
    <row r="45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</row>
    <row r="4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</row>
    <row r="458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</row>
    <row r="45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</row>
    <row r="460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</row>
    <row r="461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</row>
    <row r="46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</row>
    <row r="463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</row>
    <row r="464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</row>
    <row r="465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</row>
    <row r="46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</row>
    <row r="46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</row>
    <row r="468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</row>
    <row r="46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</row>
    <row r="470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</row>
    <row r="471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</row>
    <row r="47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</row>
    <row r="473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</row>
    <row r="474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</row>
    <row r="475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</row>
    <row r="47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</row>
    <row r="47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</row>
    <row r="478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</row>
    <row r="47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</row>
    <row r="480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</row>
    <row r="481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</row>
    <row r="48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</row>
    <row r="483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</row>
    <row r="484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</row>
    <row r="485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</row>
    <row r="48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</row>
    <row r="48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</row>
    <row r="488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</row>
    <row r="48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</row>
    <row r="490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</row>
    <row r="491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</row>
    <row r="49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</row>
    <row r="493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</row>
    <row r="494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</row>
    <row r="495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</row>
    <row r="49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</row>
    <row r="49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</row>
    <row r="498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</row>
    <row r="49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</row>
    <row r="500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</row>
    <row r="501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</row>
    <row r="50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</row>
    <row r="503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</row>
    <row r="504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</row>
    <row r="505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</row>
    <row r="50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</row>
    <row r="50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</row>
    <row r="508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</row>
    <row r="50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</row>
    <row r="510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</row>
    <row r="511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</row>
    <row r="51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</row>
    <row r="513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</row>
    <row r="514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</row>
    <row r="515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</row>
    <row r="51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</row>
    <row r="51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</row>
    <row r="518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</row>
    <row r="51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</row>
    <row r="520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</row>
    <row r="521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</row>
    <row r="52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</row>
    <row r="523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</row>
    <row r="524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</row>
    <row r="525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</row>
    <row r="5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</row>
    <row r="52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</row>
    <row r="528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</row>
    <row r="5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</row>
    <row r="530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</row>
    <row r="531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</row>
    <row r="53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</row>
    <row r="533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</row>
    <row r="534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</row>
    <row r="535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</row>
    <row r="53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</row>
    <row r="53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</row>
    <row r="538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</row>
    <row r="53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</row>
    <row r="540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</row>
    <row r="541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</row>
    <row r="54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</row>
    <row r="543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</row>
    <row r="544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</row>
    <row r="545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</row>
    <row r="54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</row>
    <row r="54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</row>
    <row r="548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</row>
    <row r="54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</row>
    <row r="550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</row>
    <row r="551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</row>
    <row r="5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</row>
    <row r="553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</row>
    <row r="554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</row>
    <row r="555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</row>
    <row r="55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</row>
    <row r="5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</row>
    <row r="558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</row>
    <row r="55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</row>
    <row r="560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</row>
    <row r="561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</row>
    <row r="56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</row>
    <row r="563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</row>
    <row r="564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</row>
    <row r="565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</row>
    <row r="56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</row>
    <row r="56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</row>
    <row r="568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</row>
    <row r="56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</row>
    <row r="570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</row>
    <row r="571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</row>
    <row r="57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</row>
    <row r="573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</row>
    <row r="574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</row>
    <row r="575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</row>
    <row r="57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</row>
    <row r="57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</row>
    <row r="578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</row>
    <row r="57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</row>
    <row r="580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</row>
    <row r="581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</row>
    <row r="58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</row>
    <row r="583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</row>
    <row r="584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</row>
    <row r="585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</row>
    <row r="58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</row>
    <row r="58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</row>
    <row r="588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</row>
    <row r="58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</row>
    <row r="590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</row>
    <row r="591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</row>
    <row r="59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</row>
    <row r="593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</row>
    <row r="594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</row>
    <row r="595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</row>
    <row r="59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</row>
    <row r="59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</row>
    <row r="598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</row>
    <row r="59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</row>
    <row r="600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</row>
    <row r="601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</row>
    <row r="60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</row>
    <row r="603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</row>
    <row r="604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</row>
    <row r="605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</row>
    <row r="60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</row>
    <row r="60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</row>
    <row r="608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</row>
    <row r="60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</row>
    <row r="610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</row>
    <row r="611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</row>
    <row r="61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</row>
    <row r="613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</row>
    <row r="614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</row>
    <row r="615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</row>
    <row r="61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</row>
    <row r="61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</row>
    <row r="618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</row>
    <row r="61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</row>
    <row r="620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</row>
    <row r="621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</row>
    <row r="62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</row>
    <row r="623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</row>
    <row r="624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</row>
    <row r="625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</row>
    <row r="6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</row>
    <row r="62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</row>
    <row r="628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</row>
    <row r="6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</row>
    <row r="630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</row>
    <row r="631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</row>
    <row r="63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</row>
    <row r="633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</row>
    <row r="634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</row>
    <row r="635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</row>
    <row r="63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</row>
    <row r="63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</row>
    <row r="638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</row>
    <row r="63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</row>
    <row r="640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</row>
    <row r="641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</row>
    <row r="64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</row>
    <row r="643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</row>
    <row r="644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</row>
    <row r="645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</row>
    <row r="64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</row>
    <row r="64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</row>
    <row r="648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</row>
    <row r="64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</row>
    <row r="650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</row>
    <row r="651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</row>
    <row r="6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</row>
    <row r="653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</row>
    <row r="654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</row>
    <row r="655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</row>
    <row r="65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</row>
    <row r="6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</row>
    <row r="658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</row>
    <row r="65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</row>
    <row r="660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</row>
    <row r="661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</row>
    <row r="66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</row>
    <row r="663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</row>
    <row r="664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</row>
    <row r="665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</row>
    <row r="66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</row>
    <row r="66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</row>
    <row r="668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</row>
    <row r="66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</row>
    <row r="670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</row>
    <row r="671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</row>
    <row r="67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</row>
    <row r="673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</row>
    <row r="674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</row>
    <row r="675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</row>
    <row r="67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</row>
    <row r="67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</row>
    <row r="678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</row>
    <row r="67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</row>
    <row r="680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</row>
    <row r="681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</row>
    <row r="68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</row>
    <row r="683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</row>
    <row r="684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</row>
    <row r="685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</row>
    <row r="68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</row>
    <row r="68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</row>
    <row r="688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</row>
    <row r="68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</row>
    <row r="690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</row>
    <row r="691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</row>
    <row r="69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</row>
    <row r="693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</row>
    <row r="694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</row>
    <row r="695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</row>
    <row r="69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</row>
    <row r="69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</row>
    <row r="698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</row>
    <row r="69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</row>
    <row r="700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</row>
    <row r="701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</row>
    <row r="70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</row>
    <row r="703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</row>
    <row r="704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</row>
    <row r="705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</row>
    <row r="70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</row>
    <row r="70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</row>
    <row r="708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</row>
    <row r="70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</row>
    <row r="710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</row>
    <row r="711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</row>
    <row r="71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</row>
    <row r="713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</row>
    <row r="714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</row>
    <row r="715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</row>
    <row r="71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</row>
    <row r="71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</row>
    <row r="718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</row>
    <row r="71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</row>
    <row r="720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</row>
    <row r="721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</row>
    <row r="72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</row>
    <row r="723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</row>
    <row r="724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</row>
    <row r="725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</row>
    <row r="7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</row>
    <row r="72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</row>
    <row r="728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</row>
    <row r="7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</row>
    <row r="730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</row>
    <row r="731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</row>
    <row r="73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</row>
    <row r="733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</row>
    <row r="734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</row>
    <row r="735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</row>
    <row r="73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</row>
    <row r="73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</row>
    <row r="738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</row>
    <row r="73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</row>
    <row r="740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</row>
    <row r="741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</row>
    <row r="74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</row>
    <row r="743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</row>
    <row r="744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</row>
    <row r="745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</row>
    <row r="74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</row>
    <row r="74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</row>
    <row r="748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</row>
    <row r="74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</row>
    <row r="750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</row>
    <row r="751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</row>
    <row r="7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</row>
    <row r="753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</row>
    <row r="754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</row>
    <row r="755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</row>
    <row r="75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</row>
    <row r="7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</row>
    <row r="758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</row>
    <row r="75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</row>
    <row r="760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</row>
    <row r="761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</row>
    <row r="76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</row>
    <row r="763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</row>
    <row r="764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</row>
    <row r="765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</row>
    <row r="76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</row>
    <row r="76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</row>
    <row r="768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</row>
    <row r="76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</row>
    <row r="770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</row>
    <row r="771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</row>
    <row r="77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</row>
    <row r="773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</row>
    <row r="774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</row>
    <row r="775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</row>
    <row r="77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</row>
    <row r="77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</row>
    <row r="778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</row>
    <row r="77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</row>
    <row r="780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</row>
    <row r="781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</row>
    <row r="78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</row>
    <row r="783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</row>
    <row r="784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</row>
    <row r="785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</row>
    <row r="78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</row>
    <row r="78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</row>
    <row r="788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</row>
    <row r="78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</row>
    <row r="790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</row>
    <row r="791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</row>
    <row r="79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</row>
    <row r="793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</row>
    <row r="794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</row>
    <row r="795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</row>
    <row r="79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</row>
    <row r="79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</row>
    <row r="798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</row>
    <row r="79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</row>
    <row r="800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</row>
    <row r="801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</row>
    <row r="80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</row>
    <row r="803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</row>
    <row r="804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</row>
    <row r="805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</row>
    <row r="80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</row>
    <row r="80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</row>
    <row r="808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</row>
    <row r="80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</row>
    <row r="810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</row>
    <row r="811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</row>
    <row r="81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</row>
    <row r="813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</row>
    <row r="814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</row>
    <row r="815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</row>
    <row r="81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</row>
    <row r="81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</row>
    <row r="818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</row>
    <row r="81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</row>
    <row r="820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</row>
    <row r="821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</row>
    <row r="82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</row>
    <row r="823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</row>
    <row r="824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</row>
    <row r="825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</row>
    <row r="8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</row>
    <row r="82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</row>
    <row r="828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</row>
    <row r="8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</row>
    <row r="830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</row>
    <row r="831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</row>
    <row r="83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</row>
    <row r="833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</row>
    <row r="834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</row>
    <row r="835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</row>
    <row r="83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</row>
    <row r="83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</row>
    <row r="838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</row>
    <row r="83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</row>
    <row r="840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</row>
    <row r="841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</row>
    <row r="84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</row>
    <row r="843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</row>
    <row r="844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</row>
    <row r="845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</row>
    <row r="84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</row>
    <row r="84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</row>
    <row r="848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</row>
    <row r="84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</row>
    <row r="850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</row>
    <row r="851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</row>
    <row r="8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</row>
    <row r="853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</row>
    <row r="854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</row>
    <row r="855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</row>
    <row r="85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</row>
    <row r="8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</row>
    <row r="858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</row>
    <row r="85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</row>
    <row r="860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</row>
    <row r="861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</row>
  </sheetData>
  <mergeCells count="15">
    <mergeCell ref="T35:AF35"/>
    <mergeCell ref="AH35:AT35"/>
    <mergeCell ref="F46:R46"/>
    <mergeCell ref="T46:AF46"/>
    <mergeCell ref="AH46:AT46"/>
    <mergeCell ref="F58:R58"/>
    <mergeCell ref="T58:AF58"/>
    <mergeCell ref="AH58:AT58"/>
    <mergeCell ref="F7:R7"/>
    <mergeCell ref="T7:AF7"/>
    <mergeCell ref="AH7:AT7"/>
    <mergeCell ref="F21:R21"/>
    <mergeCell ref="T21:AF21"/>
    <mergeCell ref="AH21:AT21"/>
    <mergeCell ref="F35:R35"/>
  </mergeCells>
  <conditionalFormatting sqref="F34:R34 F45:R45 F57:R57">
    <cfRule type="cellIs" dxfId="3" priority="1" operator="equal">
      <formula>"TRUE"</formula>
    </cfRule>
  </conditionalFormatting>
  <conditionalFormatting sqref="F34:R34 F45:R45 F57:R57">
    <cfRule type="cellIs" dxfId="4" priority="2" operator="equal">
      <formula>"FALSE"</formula>
    </cfRule>
  </conditionalFormatting>
  <conditionalFormatting sqref="AH19:AT19 AH33:AT33 AH44:AT44 AH56:AT56">
    <cfRule type="cellIs" dxfId="0" priority="3" operator="greaterThanOrEqual">
      <formula>0.25</formula>
    </cfRule>
  </conditionalFormatting>
  <conditionalFormatting sqref="AH19:AT19 AH33:AT33 AH44:AT44 AH56:AT56">
    <cfRule type="cellIs" dxfId="1" priority="4" operator="between">
      <formula>0.1</formula>
      <formula>0.25</formula>
    </cfRule>
  </conditionalFormatting>
  <conditionalFormatting sqref="AH19:AT19 AH33:AT33 AH44:AT44 AH56:AT56">
    <cfRule type="cellIs" dxfId="2" priority="5" operator="lessThanOrEqual">
      <formula>0.1</formula>
    </cfRule>
  </conditionalFormatting>
  <conditionalFormatting sqref="AH19 AH33 AH44 AH56">
    <cfRule type="notContainsBlanks" dxfId="5" priority="6">
      <formula>LEN(TRIM(AH19))&gt;0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2019-04-08T12:01:50Z</dcterms:created>
  <dc:creator>Jeobara Zak Zacheski</dc:creator>
</cp:coreProperties>
</file>